
<file path=[Content_Types].xml><?xml version="1.0" encoding="utf-8"?>
<Types xmlns="http://schemas.openxmlformats.org/package/2006/content-types">
  <Default Extension="bin" ContentType="application/vnd.openxmlformats-officedocument.spreadsheetml.printerSettings"/>
  <Override PartName="/xl/queryTables/queryTable1.xml" ContentType="application/vnd.openxmlformats-officedocument.spreadsheetml.queryTable+xml"/>
  <Override PartName="/xl/queryTables/queryTable2.xml" ContentType="application/vnd.openxmlformats-officedocument.spreadsheetml.queryTable+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Default Extension="emf" ContentType="image/x-emf"/>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queryTables/queryTable7.xml" ContentType="application/vnd.openxmlformats-officedocument.spreadsheetml.queryTable+xml"/>
  <Override PartName="/xl/calcChain.xml" ContentType="application/vnd.openxmlformats-officedocument.spreadsheetml.calcChain+xml"/>
  <Override PartName="/xl/sharedStrings.xml" ContentType="application/vnd.openxmlformats-officedocument.spreadsheetml.sharedStrings+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DieseArbeitsmappe" defaultThemeVersion="124226"/>
  <bookViews>
    <workbookView xWindow="-105" yWindow="-105" windowWidth="20625" windowHeight="8190" tabRatio="824" activeTab="2"/>
  </bookViews>
  <sheets>
    <sheet name="Start" sheetId="12" r:id="rId1"/>
    <sheet name="Dateneingabe" sheetId="22" r:id="rId2"/>
    <sheet name="Wärmepumpe" sheetId="24" r:id="rId3"/>
    <sheet name="Solarabsorber" sheetId="27" r:id="rId4"/>
    <sheet name="Hilfsdaten" sheetId="23" r:id="rId5"/>
  </sheets>
  <functionGroups/>
  <definedNames>
    <definedName name="_xlnm.Print_Area" localSheetId="1">Dateneingabe!$A$1:$T$38</definedName>
    <definedName name="_xlnm.Print_Area" localSheetId="3">Solarabsorber!$A$1:$L$97</definedName>
    <definedName name="_xlnm.Print_Area" localSheetId="2">Wärmepumpe!$A$1:$L$120</definedName>
    <definedName name="ExterneDaten_1" localSheetId="4">Hilfsdaten!$A$30:$A$31</definedName>
    <definedName name="ExterneDaten_2" localSheetId="4">Hilfsdaten!$A$30:$A$31</definedName>
    <definedName name="ExterneDaten_3" localSheetId="4">Hilfsdaten!$A$30:$A$31</definedName>
    <definedName name="ExterneDaten_4" localSheetId="4">Hilfsdaten!$A$30:$A$31</definedName>
    <definedName name="ExterneDaten_5" localSheetId="4">Hilfsdaten!$A$30:$A$31</definedName>
    <definedName name="ExterneDaten_6" localSheetId="4">Hilfsdaten!$A$30:$A$31</definedName>
    <definedName name="ExterneDaten_7" localSheetId="4">Hilfsdaten!$A$30:$A$31</definedName>
    <definedName name="Poolskizze">INDIRECT("Hilfsdaten!D"&amp;Hilfsdaten!$B$1)</definedName>
  </definedNames>
  <calcPr calcId="124519"/>
</workbook>
</file>

<file path=xl/calcChain.xml><?xml version="1.0" encoding="utf-8"?>
<calcChain xmlns="http://schemas.openxmlformats.org/spreadsheetml/2006/main">
  <c r="K6" i="27"/>
  <c r="I68"/>
  <c r="I90" s="1"/>
  <c r="H68"/>
  <c r="H80" s="1"/>
  <c r="G68"/>
  <c r="F68"/>
  <c r="E68"/>
  <c r="E88" s="1"/>
  <c r="D68"/>
  <c r="D80" s="1"/>
  <c r="C68"/>
  <c r="I34"/>
  <c r="H34"/>
  <c r="G34"/>
  <c r="F34"/>
  <c r="E34"/>
  <c r="D34"/>
  <c r="C34"/>
  <c r="B25" i="23"/>
  <c r="D33" i="24"/>
  <c r="D79"/>
  <c r="I33"/>
  <c r="H33"/>
  <c r="G33"/>
  <c r="F33"/>
  <c r="E33"/>
  <c r="C79"/>
  <c r="C33"/>
  <c r="K25" i="23"/>
  <c r="J25"/>
  <c r="K24"/>
  <c r="J24"/>
  <c r="K23"/>
  <c r="J23"/>
  <c r="G25"/>
  <c r="C25"/>
  <c r="G24"/>
  <c r="F24"/>
  <c r="C24"/>
  <c r="B24"/>
  <c r="D72" i="27" l="1"/>
  <c r="H72"/>
  <c r="I73"/>
  <c r="C82"/>
  <c r="C80"/>
  <c r="G80"/>
  <c r="C90"/>
  <c r="D88"/>
  <c r="H88"/>
  <c r="C72"/>
  <c r="G72"/>
  <c r="I74"/>
  <c r="I81"/>
  <c r="I80"/>
  <c r="F80"/>
  <c r="I89"/>
  <c r="C88"/>
  <c r="G88"/>
  <c r="F72"/>
  <c r="C73"/>
  <c r="C81"/>
  <c r="E80"/>
  <c r="C89"/>
  <c r="I88"/>
  <c r="F88"/>
  <c r="E72"/>
  <c r="I72"/>
  <c r="C74"/>
  <c r="C75" s="1"/>
  <c r="C76" s="1"/>
  <c r="I82"/>
  <c r="C91"/>
  <c r="C92" s="1"/>
  <c r="C83"/>
  <c r="C84" s="1"/>
  <c r="C35"/>
  <c r="C69"/>
  <c r="I35"/>
  <c r="I69"/>
  <c r="F25" i="23"/>
  <c r="I25" s="1"/>
  <c r="D24"/>
  <c r="D25"/>
  <c r="E25"/>
  <c r="H24"/>
  <c r="E24"/>
  <c r="I24"/>
  <c r="G23"/>
  <c r="F23"/>
  <c r="C23"/>
  <c r="B23"/>
  <c r="I79" i="24"/>
  <c r="H79"/>
  <c r="G79"/>
  <c r="F79"/>
  <c r="E79"/>
  <c r="B1" i="23"/>
  <c r="G18" i="22"/>
  <c r="G19"/>
  <c r="G20"/>
  <c r="G21"/>
  <c r="G22"/>
  <c r="G16"/>
  <c r="G17"/>
  <c r="M10"/>
  <c r="R6"/>
  <c r="M11"/>
  <c r="E11"/>
  <c r="E10"/>
  <c r="C10" i="12"/>
  <c r="C93" i="27" l="1"/>
  <c r="H35"/>
  <c r="F35"/>
  <c r="G35"/>
  <c r="D35"/>
  <c r="E35"/>
  <c r="I33"/>
  <c r="I85" s="1"/>
  <c r="C33"/>
  <c r="C77" s="1"/>
  <c r="H25" i="23"/>
  <c r="D34" i="24"/>
  <c r="H34"/>
  <c r="H46" s="1"/>
  <c r="H48" s="1"/>
  <c r="G34"/>
  <c r="E34"/>
  <c r="F34"/>
  <c r="F46" s="1"/>
  <c r="F48" s="1"/>
  <c r="I34"/>
  <c r="C34"/>
  <c r="C46" s="1"/>
  <c r="C48" s="1"/>
  <c r="C93"/>
  <c r="D56"/>
  <c r="D47"/>
  <c r="H47"/>
  <c r="F47"/>
  <c r="F102"/>
  <c r="F93"/>
  <c r="C56"/>
  <c r="I56"/>
  <c r="H56"/>
  <c r="D93"/>
  <c r="H102"/>
  <c r="H93"/>
  <c r="G93"/>
  <c r="G102"/>
  <c r="E102"/>
  <c r="E93"/>
  <c r="I102"/>
  <c r="I93"/>
  <c r="G47"/>
  <c r="C47"/>
  <c r="I47"/>
  <c r="E47"/>
  <c r="F56"/>
  <c r="G56"/>
  <c r="D102"/>
  <c r="C102"/>
  <c r="E56"/>
  <c r="E12" i="22"/>
  <c r="H23" i="23"/>
  <c r="I23"/>
  <c r="D23"/>
  <c r="E23"/>
  <c r="I83" i="27" l="1"/>
  <c r="I84" s="1"/>
  <c r="I93"/>
  <c r="I91"/>
  <c r="I92" s="1"/>
  <c r="I77"/>
  <c r="C85"/>
  <c r="I75"/>
  <c r="I76" s="1"/>
  <c r="C48"/>
  <c r="C51" s="1"/>
  <c r="C55"/>
  <c r="C40"/>
  <c r="C43" s="1"/>
  <c r="C39"/>
  <c r="C56"/>
  <c r="C59" s="1"/>
  <c r="C47"/>
  <c r="C46"/>
  <c r="C54"/>
  <c r="C57"/>
  <c r="C58" s="1"/>
  <c r="I56"/>
  <c r="I57" s="1"/>
  <c r="I58" s="1"/>
  <c r="I48"/>
  <c r="I49" s="1"/>
  <c r="I50" s="1"/>
  <c r="I47"/>
  <c r="I54"/>
  <c r="I55"/>
  <c r="I40"/>
  <c r="I41" s="1"/>
  <c r="I42" s="1"/>
  <c r="I39"/>
  <c r="I46"/>
  <c r="I59"/>
  <c r="I38"/>
  <c r="C38"/>
  <c r="G80" i="24"/>
  <c r="G92" s="1"/>
  <c r="G94" s="1"/>
  <c r="G69" i="27"/>
  <c r="F69"/>
  <c r="D69"/>
  <c r="H69"/>
  <c r="E69"/>
  <c r="G33"/>
  <c r="F33"/>
  <c r="D33"/>
  <c r="E33"/>
  <c r="H33"/>
  <c r="E55" i="24"/>
  <c r="E57" s="1"/>
  <c r="I55"/>
  <c r="I57" s="1"/>
  <c r="D55"/>
  <c r="D57" s="1"/>
  <c r="G55"/>
  <c r="G57" s="1"/>
  <c r="C55"/>
  <c r="C57" s="1"/>
  <c r="D46"/>
  <c r="D48" s="1"/>
  <c r="F55"/>
  <c r="F57" s="1"/>
  <c r="E46"/>
  <c r="E48" s="1"/>
  <c r="H55"/>
  <c r="H57" s="1"/>
  <c r="I46"/>
  <c r="I48" s="1"/>
  <c r="G46"/>
  <c r="G48" s="1"/>
  <c r="G101"/>
  <c r="G103" s="1"/>
  <c r="G37"/>
  <c r="G39" s="1"/>
  <c r="C37"/>
  <c r="C39" s="1"/>
  <c r="G83"/>
  <c r="G85" s="1"/>
  <c r="F37"/>
  <c r="F39" s="1"/>
  <c r="H37"/>
  <c r="H39" s="1"/>
  <c r="D37"/>
  <c r="D39" s="1"/>
  <c r="I37"/>
  <c r="I39" s="1"/>
  <c r="E37"/>
  <c r="E39" s="1"/>
  <c r="C38"/>
  <c r="F38"/>
  <c r="E84"/>
  <c r="I84"/>
  <c r="F84"/>
  <c r="G38"/>
  <c r="D84"/>
  <c r="H84"/>
  <c r="H38"/>
  <c r="D38"/>
  <c r="G84"/>
  <c r="I38"/>
  <c r="E38"/>
  <c r="C84"/>
  <c r="E80"/>
  <c r="E83" s="1"/>
  <c r="E85" s="1"/>
  <c r="C80"/>
  <c r="C32"/>
  <c r="I80"/>
  <c r="I32"/>
  <c r="D32"/>
  <c r="G32"/>
  <c r="H32"/>
  <c r="H80"/>
  <c r="H83" s="1"/>
  <c r="H85" s="1"/>
  <c r="H87" s="1"/>
  <c r="D80"/>
  <c r="D83" s="1"/>
  <c r="D85" s="1"/>
  <c r="F80"/>
  <c r="E32"/>
  <c r="F32"/>
  <c r="C49" i="27" l="1"/>
  <c r="C50" s="1"/>
  <c r="F74"/>
  <c r="F75" s="1"/>
  <c r="F76" s="1"/>
  <c r="F90"/>
  <c r="F91" s="1"/>
  <c r="F92" s="1"/>
  <c r="F82"/>
  <c r="F83" s="1"/>
  <c r="F84" s="1"/>
  <c r="F73"/>
  <c r="F81"/>
  <c r="F89"/>
  <c r="F85"/>
  <c r="F77"/>
  <c r="D81"/>
  <c r="D73"/>
  <c r="D89"/>
  <c r="D82"/>
  <c r="D83" s="1"/>
  <c r="D84" s="1"/>
  <c r="D74"/>
  <c r="D75" s="1"/>
  <c r="D90"/>
  <c r="D91" s="1"/>
  <c r="D92" s="1"/>
  <c r="C50" i="24"/>
  <c r="C43"/>
  <c r="D77" i="27"/>
  <c r="D93"/>
  <c r="H82"/>
  <c r="H83" s="1"/>
  <c r="H84" s="1"/>
  <c r="H73"/>
  <c r="H81"/>
  <c r="H74"/>
  <c r="H75" s="1"/>
  <c r="H76" s="1"/>
  <c r="H90"/>
  <c r="H91" s="1"/>
  <c r="H92" s="1"/>
  <c r="H89"/>
  <c r="E90"/>
  <c r="E91" s="1"/>
  <c r="E92" s="1"/>
  <c r="E89"/>
  <c r="E74"/>
  <c r="E75" s="1"/>
  <c r="E76" s="1"/>
  <c r="E82"/>
  <c r="E83" s="1"/>
  <c r="E84" s="1"/>
  <c r="E73"/>
  <c r="E81"/>
  <c r="G73"/>
  <c r="G89"/>
  <c r="G74"/>
  <c r="G75" s="1"/>
  <c r="G76" s="1"/>
  <c r="G81"/>
  <c r="G82"/>
  <c r="G83" s="1"/>
  <c r="G84" s="1"/>
  <c r="G90"/>
  <c r="G91" s="1"/>
  <c r="G92" s="1"/>
  <c r="E54"/>
  <c r="E56" s="1"/>
  <c r="E59" s="1"/>
  <c r="E46"/>
  <c r="E48" s="1"/>
  <c r="E51" s="1"/>
  <c r="H46"/>
  <c r="H48" s="1"/>
  <c r="H51" s="1"/>
  <c r="H54"/>
  <c r="H56" s="1"/>
  <c r="H59" s="1"/>
  <c r="G54"/>
  <c r="G56" s="1"/>
  <c r="G59" s="1"/>
  <c r="G46"/>
  <c r="G47" s="1"/>
  <c r="F54"/>
  <c r="F55" s="1"/>
  <c r="F46"/>
  <c r="F47" s="1"/>
  <c r="D46"/>
  <c r="D48" s="1"/>
  <c r="D49" s="1"/>
  <c r="D50" s="1"/>
  <c r="D54"/>
  <c r="D56" s="1"/>
  <c r="D59" s="1"/>
  <c r="I51"/>
  <c r="E38"/>
  <c r="G38"/>
  <c r="H38"/>
  <c r="F38"/>
  <c r="I43"/>
  <c r="D38"/>
  <c r="C41"/>
  <c r="D61" i="24"/>
  <c r="D43"/>
  <c r="D89"/>
  <c r="D52"/>
  <c r="E41"/>
  <c r="G96"/>
  <c r="H59"/>
  <c r="F50"/>
  <c r="F52"/>
  <c r="F61"/>
  <c r="F43"/>
  <c r="G107"/>
  <c r="G89"/>
  <c r="G52"/>
  <c r="G98"/>
  <c r="G61"/>
  <c r="G43"/>
  <c r="E61"/>
  <c r="E43"/>
  <c r="E89"/>
  <c r="E52"/>
  <c r="H50"/>
  <c r="H61"/>
  <c r="H43"/>
  <c r="H89"/>
  <c r="H52"/>
  <c r="I61"/>
  <c r="I43"/>
  <c r="I52"/>
  <c r="E87"/>
  <c r="H41"/>
  <c r="G41"/>
  <c r="I50"/>
  <c r="D50"/>
  <c r="F41"/>
  <c r="D41"/>
  <c r="C41"/>
  <c r="F59"/>
  <c r="D59"/>
  <c r="I41"/>
  <c r="G87"/>
  <c r="G105"/>
  <c r="E50"/>
  <c r="C59"/>
  <c r="E59"/>
  <c r="G49"/>
  <c r="G50"/>
  <c r="I58"/>
  <c r="I60" s="1"/>
  <c r="I59"/>
  <c r="G58"/>
  <c r="G59"/>
  <c r="D87"/>
  <c r="C61"/>
  <c r="C52"/>
  <c r="G104"/>
  <c r="F101"/>
  <c r="F103" s="1"/>
  <c r="F105" s="1"/>
  <c r="F92"/>
  <c r="F94" s="1"/>
  <c r="F98" s="1"/>
  <c r="C101"/>
  <c r="C103" s="1"/>
  <c r="C105" s="1"/>
  <c r="C92"/>
  <c r="C94" s="1"/>
  <c r="C96" s="1"/>
  <c r="H101"/>
  <c r="H103" s="1"/>
  <c r="H105" s="1"/>
  <c r="H92"/>
  <c r="H94" s="1"/>
  <c r="H98" s="1"/>
  <c r="I92"/>
  <c r="I94" s="1"/>
  <c r="I96" s="1"/>
  <c r="I101"/>
  <c r="I103" s="1"/>
  <c r="I105" s="1"/>
  <c r="D49"/>
  <c r="D101"/>
  <c r="D103" s="1"/>
  <c r="D105" s="1"/>
  <c r="D92"/>
  <c r="D94" s="1"/>
  <c r="D98" s="1"/>
  <c r="E58"/>
  <c r="E60" s="1"/>
  <c r="E92"/>
  <c r="E94" s="1"/>
  <c r="E98" s="1"/>
  <c r="E101"/>
  <c r="E103" s="1"/>
  <c r="E105" s="1"/>
  <c r="I83"/>
  <c r="I85" s="1"/>
  <c r="I87" s="1"/>
  <c r="F83"/>
  <c r="F85" s="1"/>
  <c r="F87" s="1"/>
  <c r="C40"/>
  <c r="C42" s="1"/>
  <c r="C83"/>
  <c r="C85" s="1"/>
  <c r="C87" s="1"/>
  <c r="C49"/>
  <c r="C51" s="1"/>
  <c r="C58"/>
  <c r="C60" s="1"/>
  <c r="E40"/>
  <c r="E49"/>
  <c r="E86"/>
  <c r="E88" s="1"/>
  <c r="I40"/>
  <c r="I42" s="1"/>
  <c r="I49"/>
  <c r="I51" s="1"/>
  <c r="G40"/>
  <c r="F58"/>
  <c r="F60" s="1"/>
  <c r="F40"/>
  <c r="F49"/>
  <c r="D86"/>
  <c r="D40"/>
  <c r="D58"/>
  <c r="D60" s="1"/>
  <c r="H40"/>
  <c r="H49"/>
  <c r="H58"/>
  <c r="H86"/>
  <c r="H88" s="1"/>
  <c r="G86"/>
  <c r="G88" s="1"/>
  <c r="E85" i="27" l="1"/>
  <c r="D51" i="24"/>
  <c r="H51"/>
  <c r="J87"/>
  <c r="H85" i="27"/>
  <c r="H42" i="24"/>
  <c r="H36" s="1"/>
  <c r="H93" i="27"/>
  <c r="G85"/>
  <c r="H60" i="24"/>
  <c r="E93" i="27"/>
  <c r="D85"/>
  <c r="F93"/>
  <c r="G77"/>
  <c r="D88" i="24"/>
  <c r="G42"/>
  <c r="E51"/>
  <c r="E77" i="27"/>
  <c r="J76"/>
  <c r="H77"/>
  <c r="D76"/>
  <c r="J75"/>
  <c r="F51" i="24"/>
  <c r="J105"/>
  <c r="D42"/>
  <c r="J41"/>
  <c r="G93" i="27"/>
  <c r="J50" i="24"/>
  <c r="J59"/>
  <c r="F42"/>
  <c r="F36" s="1"/>
  <c r="G48" i="27"/>
  <c r="G51" s="1"/>
  <c r="D57"/>
  <c r="D58" s="1"/>
  <c r="H55"/>
  <c r="E49"/>
  <c r="E50" s="1"/>
  <c r="E57"/>
  <c r="E58" s="1"/>
  <c r="G57"/>
  <c r="G58" s="1"/>
  <c r="D51"/>
  <c r="F56"/>
  <c r="G49"/>
  <c r="G50" s="1"/>
  <c r="H57"/>
  <c r="H58" s="1"/>
  <c r="H49"/>
  <c r="H50" s="1"/>
  <c r="E55"/>
  <c r="D55"/>
  <c r="D47"/>
  <c r="F48"/>
  <c r="G55"/>
  <c r="H47"/>
  <c r="E47"/>
  <c r="E40"/>
  <c r="E41" s="1"/>
  <c r="E42" s="1"/>
  <c r="E39"/>
  <c r="D39"/>
  <c r="D40"/>
  <c r="D41" s="1"/>
  <c r="D42" s="1"/>
  <c r="G40"/>
  <c r="G43" s="1"/>
  <c r="G39"/>
  <c r="H39"/>
  <c r="H40"/>
  <c r="H41" s="1"/>
  <c r="H42" s="1"/>
  <c r="F39"/>
  <c r="F40"/>
  <c r="C42"/>
  <c r="E42" i="24"/>
  <c r="E36" s="1"/>
  <c r="G51"/>
  <c r="H107"/>
  <c r="E107"/>
  <c r="I107"/>
  <c r="F107"/>
  <c r="I89"/>
  <c r="I98"/>
  <c r="F89"/>
  <c r="D107"/>
  <c r="G106"/>
  <c r="H96"/>
  <c r="F96"/>
  <c r="D96"/>
  <c r="E96"/>
  <c r="G60"/>
  <c r="G54" s="1"/>
  <c r="I95"/>
  <c r="I97" s="1"/>
  <c r="C95"/>
  <c r="C97" s="1"/>
  <c r="C98"/>
  <c r="C104"/>
  <c r="C106" s="1"/>
  <c r="C107"/>
  <c r="I104"/>
  <c r="I106" s="1"/>
  <c r="H104"/>
  <c r="H106" s="1"/>
  <c r="F104"/>
  <c r="F106" s="1"/>
  <c r="G100"/>
  <c r="E104"/>
  <c r="E106" s="1"/>
  <c r="D104"/>
  <c r="D106" s="1"/>
  <c r="C86"/>
  <c r="C88" s="1"/>
  <c r="C89"/>
  <c r="I86"/>
  <c r="I88" s="1"/>
  <c r="F86"/>
  <c r="F88" s="1"/>
  <c r="H82"/>
  <c r="H54"/>
  <c r="D36"/>
  <c r="D45"/>
  <c r="C54"/>
  <c r="I36"/>
  <c r="G82"/>
  <c r="F54"/>
  <c r="I54"/>
  <c r="C36"/>
  <c r="D54"/>
  <c r="H45"/>
  <c r="E54"/>
  <c r="G36"/>
  <c r="G45"/>
  <c r="E82"/>
  <c r="J49"/>
  <c r="J58"/>
  <c r="J40"/>
  <c r="H95"/>
  <c r="E95"/>
  <c r="G95"/>
  <c r="J96" l="1"/>
  <c r="F59" i="27"/>
  <c r="F57"/>
  <c r="F49"/>
  <c r="F50" s="1"/>
  <c r="F51"/>
  <c r="H43"/>
  <c r="G41"/>
  <c r="G42" s="1"/>
  <c r="E43"/>
  <c r="D43"/>
  <c r="F43"/>
  <c r="F41"/>
  <c r="H97" i="24"/>
  <c r="H91" s="1"/>
  <c r="G97"/>
  <c r="G91" s="1"/>
  <c r="G117" s="1"/>
  <c r="E97"/>
  <c r="E91" s="1"/>
  <c r="J86"/>
  <c r="I82"/>
  <c r="C82"/>
  <c r="J104"/>
  <c r="H100"/>
  <c r="C100"/>
  <c r="I91"/>
  <c r="F100"/>
  <c r="I100"/>
  <c r="C91"/>
  <c r="D100"/>
  <c r="J106"/>
  <c r="E100"/>
  <c r="C45"/>
  <c r="C71" s="1"/>
  <c r="C70" s="1"/>
  <c r="I45"/>
  <c r="I71" s="1"/>
  <c r="I70" s="1"/>
  <c r="H71"/>
  <c r="J51"/>
  <c r="D71"/>
  <c r="E45"/>
  <c r="E71" s="1"/>
  <c r="F82"/>
  <c r="F45"/>
  <c r="D82"/>
  <c r="G71"/>
  <c r="J42"/>
  <c r="J60"/>
  <c r="F95"/>
  <c r="J88"/>
  <c r="D95"/>
  <c r="D97" s="1"/>
  <c r="F58" i="27" l="1"/>
  <c r="J58" s="1"/>
  <c r="J57"/>
  <c r="F42"/>
  <c r="J42" s="1"/>
  <c r="J41"/>
  <c r="F97" i="24"/>
  <c r="F91" s="1"/>
  <c r="F117" s="1"/>
  <c r="G70"/>
  <c r="E70"/>
  <c r="H117"/>
  <c r="H70"/>
  <c r="E117"/>
  <c r="D69"/>
  <c r="D70"/>
  <c r="H69"/>
  <c r="I117"/>
  <c r="C117"/>
  <c r="I68"/>
  <c r="I67"/>
  <c r="D67"/>
  <c r="D66"/>
  <c r="I66"/>
  <c r="C69"/>
  <c r="C66"/>
  <c r="C68"/>
  <c r="C67"/>
  <c r="I69"/>
  <c r="D68"/>
  <c r="E69"/>
  <c r="E68"/>
  <c r="E67"/>
  <c r="E66"/>
  <c r="G67"/>
  <c r="G66"/>
  <c r="G69"/>
  <c r="G68"/>
  <c r="H68"/>
  <c r="H66"/>
  <c r="F71"/>
  <c r="H67"/>
  <c r="J95"/>
  <c r="J71" l="1"/>
  <c r="F70"/>
  <c r="J70" s="1"/>
  <c r="I113"/>
  <c r="I116"/>
  <c r="C115"/>
  <c r="C116"/>
  <c r="C114"/>
  <c r="I112"/>
  <c r="I115"/>
  <c r="C113"/>
  <c r="I114"/>
  <c r="C112"/>
  <c r="J97"/>
  <c r="D91"/>
  <c r="F116" s="1"/>
  <c r="F69"/>
  <c r="J69" s="1"/>
  <c r="F68"/>
  <c r="F66"/>
  <c r="F67"/>
  <c r="H116" l="1"/>
  <c r="F115"/>
  <c r="G116"/>
  <c r="E116"/>
  <c r="E115"/>
  <c r="G113"/>
  <c r="H112"/>
  <c r="E112"/>
  <c r="G114"/>
  <c r="H115"/>
  <c r="E113"/>
  <c r="G115"/>
  <c r="H113"/>
  <c r="D117"/>
  <c r="D116" s="1"/>
  <c r="E114"/>
  <c r="G112"/>
  <c r="H114"/>
  <c r="F112"/>
  <c r="F114"/>
  <c r="F113"/>
  <c r="J116" l="1"/>
  <c r="D113"/>
  <c r="D115"/>
  <c r="J115" s="1"/>
  <c r="D112"/>
  <c r="D114"/>
  <c r="J117"/>
</calcChain>
</file>

<file path=xl/connections.xml><?xml version="1.0" encoding="utf-8"?>
<connections xmlns="http://schemas.openxmlformats.org/spreadsheetml/2006/main">
  <connection id="1" name="Verbindung" type="4" refreshedVersion="3" background="1" saveData="1">
    <webPr xl2000="1" url="http://re.jrc.ec.europa.eu/api/DRcalc?lat=52.513&amp;lon=13.359&amp;month=0&amp;global=1&amp;angle=25&amp;aspect=0&amp;localtime=1&amp;outputformat=json" htmlTables="1" htmlFormat="all"/>
  </connection>
  <connection id="2" name="Verbindung1" type="4" refreshedVersion="3" background="1" saveData="1">
    <webPr xl2000="1" url="http://re.jrc.ec.europa.eu/api/DRcalc?lat=52.513&amp;lon=13.359&amp;month=0&amp;global=1&amp;angle=25&amp;aspect=0&amp;localtime=1&amp;outputformat=json" htmlTables="1" htmlFormat="all"/>
  </connection>
  <connection id="3" name="Verbindung2" type="4" refreshedVersion="3" background="1" saveData="1">
    <webPr xl2000="1" url="http://re.jrc.ec.europa.eu/api/DRcalc?lat=52.513&amp;lon=13.359&amp;month=0&amp;global=1&amp;angle=25&amp;aspect=0&amp;localtime=1&amp;outputformat=json" htmlTables="1" htmlFormat="all"/>
  </connection>
  <connection id="4" name="Verbindung3" type="4" refreshedVersion="3" background="1" saveData="1">
    <webPr xl2000="1" url="http://re.jrc.ec.europa.eu/api/DRcalc?lat=52.513&amp;lon=13.359&amp;month=0&amp;global=1&amp;angle=25&amp;aspect=0&amp;localtime=1&amp;outputformat=json" htmlTables="1" htmlFormat="all"/>
  </connection>
  <connection id="5" name="Verbindung4" type="4" refreshedVersion="3" background="1" saveData="1">
    <webPr xl2000="1" url="http://re.jrc.ec.europa.eu/api/DRcalc?lat=52.5&amp;lon=13.4&amp;month=0&amp;global=1&amp;localtime=1&amp;outputformat=json&amp;usehorizon=1&amp;angle=35&amp;aspect=0" htmlTables="1" htmlFormat="all"/>
  </connection>
  <connection id="6" name="Verbindung5" type="4" refreshedVersion="3" background="1" saveData="1">
    <webPr xl2000="1" url="http://re.jrc.ec.europa.eu/api/DRcalc?lat=52.5&amp;lon=13.4&amp;month=0&amp;global=1&amp;localtime=1&amp;outputformat=json&amp;usehorizon=1&amp;angle=35&amp;aspect=15" htmlTables="1" htmlFormat="all"/>
  </connection>
  <connection id="7" name="Verbindung6" type="4" refreshedVersion="3" background="1" saveData="1">
    <webPr xl2000="1" url="http://re.jrc.ec.europa.eu/api/DRcalc?lat=52.5&amp;lon=13.4&amp;month=0&amp;global=1&amp;localtime=1&amp;outputformat=json&amp;usehorizon=1&amp;angle=0&amp;aspect=0" htmlTables="1" htmlFormat="all"/>
  </connection>
</connections>
</file>

<file path=xl/sharedStrings.xml><?xml version="1.0" encoding="utf-8"?>
<sst xmlns="http://schemas.openxmlformats.org/spreadsheetml/2006/main" count="365" uniqueCount="148">
  <si>
    <t>m³</t>
  </si>
  <si>
    <t>Eingabewert / Messwert</t>
  </si>
  <si>
    <t>WERT</t>
  </si>
  <si>
    <t>Legende:</t>
  </si>
  <si>
    <t>Berechneter Wert</t>
  </si>
  <si>
    <t>Wert</t>
  </si>
  <si>
    <t>Stoffwert / Konstante</t>
  </si>
  <si>
    <t>Verwendung ohne jegliche Gewähr oder Anspruch auf Vollständigkeit und Richtigkeit!</t>
  </si>
  <si>
    <t>Versionshistorie:</t>
  </si>
  <si>
    <t>Datum</t>
  </si>
  <si>
    <t>Bemerkung</t>
  </si>
  <si>
    <t>Erste öffentliche Version</t>
  </si>
  <si>
    <t>Ver</t>
  </si>
  <si>
    <t>Version:</t>
  </si>
  <si>
    <t>1. Dateneingabe</t>
  </si>
  <si>
    <t>Poolgeometrie</t>
  </si>
  <si>
    <t>Länge</t>
  </si>
  <si>
    <t>Breite</t>
  </si>
  <si>
    <t>Form</t>
  </si>
  <si>
    <t>Ovalpool</t>
  </si>
  <si>
    <t>Rundpool</t>
  </si>
  <si>
    <t>Rechteckpool</t>
  </si>
  <si>
    <t>Wasseroberfläche</t>
  </si>
  <si>
    <t>Poolwandung</t>
  </si>
  <si>
    <r>
      <t>A</t>
    </r>
    <r>
      <rPr>
        <vertAlign val="subscript"/>
        <sz val="11"/>
        <color theme="1"/>
        <rFont val="Calibri"/>
        <family val="2"/>
        <scheme val="minor"/>
      </rPr>
      <t>O</t>
    </r>
  </si>
  <si>
    <r>
      <t>A</t>
    </r>
    <r>
      <rPr>
        <vertAlign val="subscript"/>
        <sz val="11"/>
        <color theme="1"/>
        <rFont val="Calibri"/>
        <family val="2"/>
        <scheme val="minor"/>
      </rPr>
      <t>W</t>
    </r>
  </si>
  <si>
    <t>V</t>
  </si>
  <si>
    <t>m</t>
  </si>
  <si>
    <t>Wassertiefe</t>
  </si>
  <si>
    <t>m²</t>
  </si>
  <si>
    <t>ß</t>
  </si>
  <si>
    <t>à</t>
  </si>
  <si>
    <t>á</t>
  </si>
  <si>
    <t>â</t>
  </si>
  <si>
    <t>Monat</t>
  </si>
  <si>
    <t>Mai</t>
  </si>
  <si>
    <t>Juni</t>
  </si>
  <si>
    <t>Juli</t>
  </si>
  <si>
    <t>August</t>
  </si>
  <si>
    <t>September</t>
  </si>
  <si>
    <t>Klimadaten</t>
  </si>
  <si>
    <t>April</t>
  </si>
  <si>
    <t>Oktober</t>
  </si>
  <si>
    <t>Min. Temp</t>
  </si>
  <si>
    <t>Max. Temp.</t>
  </si>
  <si>
    <t>Tageslänge (h)</t>
  </si>
  <si>
    <r>
      <rPr>
        <b/>
        <sz val="11"/>
        <color theme="1"/>
        <rFont val="Symbol"/>
        <family val="1"/>
        <charset val="2"/>
      </rPr>
      <t>Æ</t>
    </r>
    <r>
      <rPr>
        <b/>
        <sz val="13.2"/>
        <color theme="1"/>
        <rFont val="Calibri"/>
        <family val="2"/>
      </rPr>
      <t xml:space="preserve"> </t>
    </r>
    <r>
      <rPr>
        <b/>
        <sz val="11"/>
        <color theme="1"/>
        <rFont val="Calibri"/>
        <family val="2"/>
        <scheme val="minor"/>
      </rPr>
      <t>Temp</t>
    </r>
  </si>
  <si>
    <r>
      <rPr>
        <b/>
        <sz val="11"/>
        <color theme="1"/>
        <rFont val="Symbol"/>
        <family val="1"/>
        <charset val="2"/>
      </rPr>
      <t>Æ</t>
    </r>
    <r>
      <rPr>
        <b/>
        <sz val="13.2"/>
        <color theme="1"/>
        <rFont val="Calibri"/>
        <family val="2"/>
      </rPr>
      <t xml:space="preserve"> </t>
    </r>
    <r>
      <rPr>
        <b/>
        <sz val="11"/>
        <color theme="1"/>
        <rFont val="Calibri"/>
        <family val="2"/>
        <scheme val="minor"/>
      </rPr>
      <t xml:space="preserve">Temp </t>
    </r>
    <r>
      <rPr>
        <b/>
        <sz val="8"/>
        <color theme="1"/>
        <rFont val="Calibri"/>
        <family val="2"/>
        <scheme val="minor"/>
      </rPr>
      <t>(berechnet)</t>
    </r>
  </si>
  <si>
    <t>Poolskizze</t>
  </si>
  <si>
    <t>€ / kWh</t>
  </si>
  <si>
    <t>Übersicht:</t>
  </si>
  <si>
    <t>&lt;- Zurück</t>
  </si>
  <si>
    <t>Wasservolumen</t>
  </si>
  <si>
    <t>Wärmepumpe 1</t>
  </si>
  <si>
    <t>Wärmepumpe 2</t>
  </si>
  <si>
    <t>Wärmepumpe 3</t>
  </si>
  <si>
    <t>Wärmepumpendaten</t>
  </si>
  <si>
    <t>Temp. Verlust (°C)</t>
  </si>
  <si>
    <t>Energieverlust (kWh)</t>
  </si>
  <si>
    <t>kW</t>
  </si>
  <si>
    <t>Wärmeleistung</t>
  </si>
  <si>
    <t>COP</t>
  </si>
  <si>
    <t>COP*</t>
  </si>
  <si>
    <t>Leistungsaufnahme*</t>
  </si>
  <si>
    <t>Lufttemperatur</t>
  </si>
  <si>
    <t>kJ/kg*K</t>
  </si>
  <si>
    <t>°C</t>
  </si>
  <si>
    <t>Wärmepmpe 1</t>
  </si>
  <si>
    <t>Wärmepmpe 2</t>
  </si>
  <si>
    <t>Wärmepmpe 3</t>
  </si>
  <si>
    <t>Steigung</t>
  </si>
  <si>
    <t>Abschnitt</t>
  </si>
  <si>
    <t>W-Leistung</t>
  </si>
  <si>
    <t>Wärmeleistung (kW)</t>
  </si>
  <si>
    <t>Jahr</t>
  </si>
  <si>
    <t>Kosten (€/Mon.)</t>
  </si>
  <si>
    <t>Betriebsdaten Min</t>
  </si>
  <si>
    <t>Betriebsdaten Max</t>
  </si>
  <si>
    <t>*: Entweder COP-Wert (wenn verfügbar) ODER Leistungsaufnahme (Strom) eintragen. Wird beides eingetragen, wird mit der COP-Eingabe gerechnet.</t>
  </si>
  <si>
    <t>Laufzeit (h/d)*</t>
  </si>
  <si>
    <t>*: Ziel-Laufzeit 4h pro Tag</t>
  </si>
  <si>
    <t>Link:</t>
  </si>
  <si>
    <t>https://www.worldweatheronline.com/</t>
  </si>
  <si>
    <t>https://www.laenderdaten.info/Europa/Deutschland/sonnenuntergang.php</t>
  </si>
  <si>
    <t>2. Berechnung Wärmepumpen</t>
  </si>
  <si>
    <t>Wärmeverluste / Energiekosten</t>
  </si>
  <si>
    <t>Strompreis</t>
  </si>
  <si>
    <t>U-Wert Poolabdeckung</t>
  </si>
  <si>
    <t>U-Wert Poolwandung</t>
  </si>
  <si>
    <t>Soll Wassertemperatur</t>
  </si>
  <si>
    <t>XPS Dämmung 20 mm:
XPS Dämmung 30 mm:
XPS Dämmung 40 mm:
XPS Dämmung 50 mm:
XPS Dämmung 100 mm:
Beton 15 cm:
Beton 20 cm:
Beton 25 cm:</t>
  </si>
  <si>
    <t>Folie 1 mm:
Luftpolsterfolie:
Einfachglas 5 mm:
Isolierglas 14 mm:
Ohne Abdeckung, windstill:
Ohne Abdeckung, mittl. Wind:</t>
  </si>
  <si>
    <t xml:space="preserve">1,493 W/m²*K
1,087 W/m²*K
0,855 W/m²*K
0,704 W/m²*K
0,375 W/m²*K
4,082 W/m²*K
3,704 W/m²*K
3,390 W/m²*K
</t>
  </si>
  <si>
    <t xml:space="preserve">5,729 W/m²*K
3,000 W/m²*K
5,663 W/m²*K
2,804 W/m²*K
7,500 W/m²*K
25,000 W/m²*K
</t>
  </si>
  <si>
    <t>Wärmekapazität Wasser</t>
  </si>
  <si>
    <r>
      <rPr>
        <b/>
        <sz val="8"/>
        <color theme="1"/>
        <rFont val="Calibri"/>
        <family val="2"/>
        <scheme val="minor"/>
      </rPr>
      <t xml:space="preserve">U-Werte
</t>
    </r>
    <r>
      <rPr>
        <sz val="8"/>
        <color theme="1"/>
        <rFont val="Calibri"/>
        <family val="2"/>
        <scheme val="minor"/>
      </rPr>
      <t xml:space="preserve">Der U-Wert gibt die Wärmemenge an, die pro Zeiteinheit durch 1 m² eines Bauteils bei einem Temperaturunterschied von 1 K hindurchgeht. Je tiefer der U-Wert, desto kleiner sind die Wärmeverluste nach aussen und dementsprechend geringer der Energieverlust.
Zur Vereinfachung wird davon ausgegangen, dass die Bodentemperatur keinen Tagesgang aufweist (gilt ab 50 cm Tiefe) und der Tages-Min-Temperatur entspricht.
Zur Vereinfachung verwenden wir bei einem Sandwich-Aufbau der Poolwand oder Abdeckung (z. B. Folie+Stahlwand+XPS Dämmung+Beton) </t>
    </r>
    <r>
      <rPr>
        <b/>
        <sz val="8"/>
        <color theme="1"/>
        <rFont val="Calibri"/>
        <family val="2"/>
        <scheme val="minor"/>
      </rPr>
      <t>den jeweils niedrigsten vorhandenen U-Wert im Sandwich</t>
    </r>
    <r>
      <rPr>
        <sz val="8"/>
        <color theme="1"/>
        <rFont val="Calibri"/>
        <family val="2"/>
        <scheme val="minor"/>
      </rPr>
      <t xml:space="preserve">.
Verschiedene U-Werte:
</t>
    </r>
  </si>
  <si>
    <t>https://www.ubakus.de/u-wert-rechner/?</t>
  </si>
  <si>
    <t>W/m²*K</t>
  </si>
  <si>
    <t>Variante B: Berechnung über (bekannten/abgeschätzen) Temperaturverlust pro Tag</t>
  </si>
  <si>
    <t>Variante A: Berechnung über den Wärmeverlust anhand von Klimadaten</t>
  </si>
  <si>
    <t>U-Wert Poolboden</t>
  </si>
  <si>
    <t>Betriebsdaten bei Luft</t>
  </si>
  <si>
    <t>Bemerkung:</t>
  </si>
  <si>
    <r>
      <rPr>
        <b/>
        <sz val="8"/>
        <color theme="1"/>
        <rFont val="Calibri"/>
        <family val="2"/>
        <scheme val="minor"/>
      </rPr>
      <t xml:space="preserve">Monate:
</t>
    </r>
    <r>
      <rPr>
        <sz val="8"/>
        <color theme="1"/>
        <rFont val="Calibri"/>
        <family val="2"/>
        <scheme val="minor"/>
      </rPr>
      <t xml:space="preserve">- Monate, die nicht betrachtet werden sollen, einfach leer lassen. Sie werden dann später bei der Berechnung nicht berücksichtigt.
</t>
    </r>
    <r>
      <rPr>
        <b/>
        <sz val="8"/>
        <color theme="1"/>
        <rFont val="Calibri"/>
        <family val="2"/>
        <scheme val="minor"/>
      </rPr>
      <t>Klimadaten:</t>
    </r>
    <r>
      <rPr>
        <sz val="8"/>
        <color theme="1"/>
        <rFont val="Calibri"/>
        <family val="2"/>
        <scheme val="minor"/>
      </rPr>
      <t xml:space="preserve">
- Quelle: https://www.worldweatheronline.com/
- Lupe -&gt; Nach Stadt suchen -&gt; Averages -&gt; Diagramm auf 1y stellen  -&gt; Min Temp, Max Temp, AVG Temp ablesen und eintragen
</t>
    </r>
    <r>
      <rPr>
        <b/>
        <sz val="8"/>
        <color theme="1"/>
        <rFont val="Calibri"/>
        <family val="2"/>
        <scheme val="minor"/>
      </rPr>
      <t>Tageslänge:</t>
    </r>
    <r>
      <rPr>
        <sz val="8"/>
        <color theme="1"/>
        <rFont val="Calibri"/>
        <family val="2"/>
        <scheme val="minor"/>
      </rPr>
      <t xml:space="preserve">
- Quelle: https://www.laenderdaten.info/Europa/Deutschland/sonnenuntergang.php
- Daten für Berlin sind voreingetragen
</t>
    </r>
    <r>
      <rPr>
        <b/>
        <sz val="8"/>
        <color theme="1"/>
        <rFont val="Symbol"/>
        <family val="1"/>
        <charset val="2"/>
      </rPr>
      <t>Æ</t>
    </r>
    <r>
      <rPr>
        <b/>
        <sz val="8"/>
        <color theme="1"/>
        <rFont val="Calibri"/>
        <family val="2"/>
        <scheme val="minor"/>
      </rPr>
      <t xml:space="preserve"> Temp (berechnet): </t>
    </r>
    <r>
      <rPr>
        <sz val="8"/>
        <color theme="1"/>
        <rFont val="Calibri"/>
        <family val="2"/>
        <scheme val="minor"/>
      </rPr>
      <t xml:space="preserve">
Anhand der Tageslänge berechnet. Wert wird für weitere Berechnungen verwendet. Er sollte nicht mehr als 0,5 °C von der gemessenen </t>
    </r>
    <r>
      <rPr>
        <sz val="8"/>
        <color theme="1"/>
        <rFont val="Symbol"/>
        <family val="1"/>
        <charset val="2"/>
      </rPr>
      <t>Æ</t>
    </r>
    <r>
      <rPr>
        <sz val="8"/>
        <color theme="1"/>
        <rFont val="Calibri"/>
        <family val="2"/>
        <scheme val="minor"/>
      </rPr>
      <t xml:space="preserve"> Temp abweichen. Ggf. die Tageslänge anpassen!</t>
    </r>
  </si>
  <si>
    <t>3. Berechnung Solarabsorber</t>
  </si>
  <si>
    <t>Best Of aus Wärmepumpe 1 - 3 (bei Vergleich einer Inverter-WP in 3 Betriebszuständen)</t>
  </si>
  <si>
    <t>Filterlaufzeiten</t>
  </si>
  <si>
    <t>Ziel (h)</t>
  </si>
  <si>
    <t>Max (h)</t>
  </si>
  <si>
    <t>Stromverbrauch Filterpumpe</t>
  </si>
  <si>
    <t>Kosten (€/Mon.)**</t>
  </si>
  <si>
    <t>**: Liegt die Laufzeit über der Soll-Laufzeit, so wird für die zusätzliche Filterlaufzeit der Strombedarf der Filterpumpe addiert</t>
  </si>
  <si>
    <t>Strom Pumpe (kWh/Mon.)**</t>
  </si>
  <si>
    <t>Strom WP (kWh/Mon.)</t>
  </si>
  <si>
    <t>Unter Ziel-Laufzeit wird die Laufzeit der Filterpumpe angegeben, die für eine Filterung und Umwälzung des Pool-Inhalts normalerweise notwendig ist. Liegt die Aufheizzeit für die Wärmepumpe oberhalb dieser Laufzeit (d. h. wird zusätzliche Filterpumpenlaufzeit notwendig, um den Pool aufzuheizen, so wird der zusätzliche Stromverbrauch zu den Stromkosten der Wärmepumpe hinzuaddiert. Liegt die Aufheizzeit innterhalb der Ziel-Laufzeit der Filterpumpe, werden keine Kosten für die Filterpumpe zusätzlich addiert (da diese Kosten ja sowieso zur Filterung anfallen).
Die maximale Laufzeit ist als "Schmerzgrenze" zu verstehen. Alle Laufzeiten oberhalb dieser maximalen Laufzeit werden für die "Best of" Berechnung nicht berücksichtigt.</t>
  </si>
  <si>
    <t>Diese Berechnung dient zur Ermittlung der möglichst praxisnahmen Betriebskostenberechnung von Inverter-Wärmepumpen. Dazu werden oben 3 Betrisbpunkte der WP eingetragen (Min, Mittel, Max) und die jeweils kostengünstigsten Betriebspunkte der einzelnen Monate hier zusammengefasst. Dieses entspricht (ohne das genaue Regelkonzept des Herstellers zu kennen) vermutlich annähernd den tatsächlichen Betriebskosten. Hierbei wird die maximal zugelassene Filterpumpenlaufzeit aus der Dateneingabe berücksichtigt.</t>
  </si>
  <si>
    <t>BestOf Variante ergänzt zum Vergleich Inverter-WP</t>
  </si>
  <si>
    <t>Month</t>
  </si>
  <si>
    <t>Time</t>
  </si>
  <si>
    <t>G(i)</t>
  </si>
  <si>
    <t>Solarabsorber 1</t>
  </si>
  <si>
    <t>Solarabsorber 2</t>
  </si>
  <si>
    <t>Absorberfläche</t>
  </si>
  <si>
    <t>Wirkungsgrad</t>
  </si>
  <si>
    <t>%</t>
  </si>
  <si>
    <t>Solarabsorberdaten</t>
  </si>
  <si>
    <t>°</t>
  </si>
  <si>
    <t>Abweichung Südausrichtung*</t>
  </si>
  <si>
    <t>Klimadaten (Sonnenstrahlung)</t>
  </si>
  <si>
    <t>Modul-Neigung**</t>
  </si>
  <si>
    <t>*: 0° = Süd, 90° = West, -90° = Ost              **: 0° = horizontal, 90° = vertikal</t>
  </si>
  <si>
    <t>Standort: Längengrad</t>
  </si>
  <si>
    <t>Standort: Breitengrad</t>
  </si>
  <si>
    <t>Die Daten werden für die eingegebenen Daten mit Klick auf den Button "Hole Daten" von der Webseite
https://re.jrc.ec.europa.eu/pvg_tools/en/#DR
heruntergeladen.</t>
  </si>
  <si>
    <t>Latitude</t>
  </si>
  <si>
    <t>Longitude</t>
  </si>
  <si>
    <t>Slope</t>
  </si>
  <si>
    <t>Azimuth</t>
  </si>
  <si>
    <t>Energieverlust (kWh/d)</t>
  </si>
  <si>
    <t>Relativer Ertrag (%)</t>
  </si>
  <si>
    <t>Max. Energieertrag (kWh/d)</t>
  </si>
  <si>
    <t>Solarabsorber 3</t>
  </si>
  <si>
    <t>Berechnung Solarabsorber hinzugefügt</t>
  </si>
  <si>
    <t>{"inputs":{"location":{"latitude":52.5,"longitude":13.4,"elevation":40.0},"meteo_data":{"radiation_db":"PVGIS-SARAH","meteo_db":"ERA-Interim","year_min":2005,"year_max":2016,"use_horizon":true,"horizon_db":"DEM-calculated"},"plane":{"fixed":{"slope":{"value":0.0,"optimal":false},"azimuth":{"value":0.0,"optimal":false}}},"time_format":"local"},"outputs":{"daily_profile":[{"month":1,"time":"00:00","G(i)":0.0,"Gb(i)":0.0,"Gd(i)":0.0},{"month":1,"time":"01:00","G(i)":0.0,"Gb(i)":0.0,"Gd(i)":0.0},{"month":1,"time":"02:00","G(i)":0.0,"Gb(i)":0.0,"Gd(i)":0.0},{"month":1,"time":"03:00","G(i)":0.0,"Gb(i)":0.0,"Gd(i)":0.0},{"month":1,"time":"04:00","G(i)":0.0,"Gb(i)":0.0,"Gd(i)":0.0},{"month":1,"time":"05:00","G(i)":0.0,"Gb(i)":0.0,"Gd(i)":0.0},{"month":1,"time":"06:00","G(i)":0.0,"Gb(i)":0.0,"Gd(i)":0.0},{"month":1,"time":"07:00","G(i)":0.0,"Gb(i)":0.0,"Gd(i)":0.0},{"month":1,"time":"08:00","G(i)":0.0,"Gb(i)":0.0,"Gd(i)":0.0},{"month":1,"time":"09:00","G(i)":42.38,"Gb(i)":11.52,"Gd(i)":30.86},{"month":1,"time":"10:00","G(i)":92.99,"Gb(i)":30.51,"Gd(i)":62.48},{"month":1,"time":"11:00","G(i)":114.8,"Gb(i)":38.62,"Gd(i)":76.17},{"month":1,"time":"12:00","G(i)":130.64,"Gb(i)":45.97,"Gd(i)":84.68},{"month":1,"time":"13:00","G(i)":114.78,"Gb(i)":37.75,"Gd(i)":77.03},{"month":1,"time":"14:00","G(i)":91.07,"Gb(i)":29.21,"Gd(i)":61.86},{"month":1,"time":"15:00","G(i)":46.94,"Gb(i)":12.95,"Gd(i)":33.99},{"month":1,"time":"16:00","G(i)":1.55,"Gb(i)":0.15,"Gd(i)":1.41},{"month":1,"time":"17:00","G(i)":0.0,"Gb(i)":0.0,"Gd(i)":0.0},{"month":1,"time":"18:00","G(i)":0.0,"Gb(i)":0.0,"Gd(i)":0.0},{"month":1,"time":"19:00","G(i)":0.0,"Gb(i)":0.0,"Gd(i)":0.0},{"month":1,"time":"20:00","G(i)":0.0,"Gb(i)":0.0,"Gd(i)":0.0},{"month":1,"time":"21:00","G(i)":0.0,"Gb(i)":0.0,"Gd(i)":0.0},{"month":1,"time":"22:00","G(i)":0.0,"Gb(i)":0.0,"Gd(i)":0.0},{"month":1,"time":"23:00","G(i)":0.0,"Gb(i)":0.0,"Gd(i)":0.0},{"month":2,"time":"00:00","G(i)":0.0,"Gb(i)":0.0,"Gd(i)":0.0},{"month":2,"time":"01:00","G(i)":0.0,"Gb(i)":0.0,"Gd(i)":0.0},{"month":2,"time":"02:00","G(i)":0.0,"Gb(i)":0.0,"Gd(i)":0.0},{"month":2,"time":"03:00","G(i)":0.0,"Gb(i)":0.0,"Gd(i)":0.0},{"month":2,"time":"04:00","G(i)":0.0,"Gb(i)":0.0,"Gd(i)":0.0},{"month":2,"time":"05:00","G(i)":0.0,"Gb(i)":0.0,"Gd(i)":0.0},{"month":2,"time":"06:00","G(i)":0.0,"Gb(i)":0.0,"Gd(i)":0.0},{"month":2,"time":"07:00","G(i)":0.0,"Gb(i)":0.0,"Gd(i)":0.0},{"month":2,"time":"08:00","G(i)":39.02,"Gb(i)":13.12,"Gd(i)":25.9},{"month":2,"time":"09:00","G(i)":116.28,"Gb(i)":44.66,"Gd(i)":71.62},{"month":2,"time":"10:00","G(i)":172.94,"Gb(i)":70.1,"Gd(i)":102.84},{"month":2,"time":"11:00","G(i)":196.4,"Gb(i)":83.46,"Gd(i)":112.94},{"month":2,"time":"12:00","G(i)":215.24,"Gb(i)":90.63,"Gd(i)":124.61},{"month":2,"time":"13:00","G(i)":185.85,"Gb(i)":78.07,"Gd(i)":107.78},{"month":2,"time":"14:00","G(i)":163.27,"Gb(i)":62.49,"Gd(i)":100.78},{"month":2,"time":"15:00","G(i)":115.54,"Gb(i)":42.73,"Gd(i)":72.81},{"month":2,"time":"16:00","G(i)":59.07,"Gb(i)":19.15,"Gd(i)":39.92},{"month":2,"time":"17:00","G(i)":2.04,"Gb(i)":0.25,"Gd(i)":1.79},{"month":2,"time":"18:00","G(i)":0.0,"Gb(i)":0.0,"Gd(i)":0.0},{"month":2,"time":"19:00","G(i)":0.0,"Gb(i)":0.0,"Gd(i)":0.0},{"month":2,"time":"20:00","G(i)":0.0,"Gb(i)":0.0,"Gd(i)":0.0},{"month":2,"time":"21:00","G(i)":0.0,"Gb(i)":0.0,"Gd(i)":0.0},{"month":2,"time":"22:00","G(i)":0.0,"Gb(i)":0.0,"Gd(i)":0.0},{"month":2,"time":"23:00","G(i)":0.0,"Gb(i)":0.0,"Gd(i)":0.0},{"month":3,"time":"00:00","G(i)":0.0,"Gb(i)":0.0,"Gd(i)":0.0},{"month":3,"time":"01:00","G(i)":0.0,"Gb(i)":0.0,"Gd(i)":0.0},{"month":3,"time":"02:00","G(i)":0.0,"Gb(i)":0.0,"Gd(i)":0.0},{"month":3,"time":"03:00","G(i)":0.0,"Gb(i)":0.0,"Gd(i)":0.0},{"month":3,"time":"04:00","G(i)":0.0,"Gb(i)":0.0,"Gd(i)":0.0},{"month":3,"time":"05:00","G(i)":0.0,"Gb(i)":0.0,"Gd(i)":0.0},{"month":3,"time":"06:00","G(i)":0.3,"Gb(i)":0.01,"Gd(i)":0.29},{"month":3,"time":"07:00","G(i)":44.6,"Gb(i)":14.6,"Gd(i)":29.99},{"month":3,"time":"08:00","G(i)":137.15,"Gb(i)":52.75,"Gd(i)":84.39},{"month":3,"time":"09:00","G(i)":223.17,"Gb(i)":98.72,"Gd(i)":124.46},{"month":3,"time":"10:00","G(i)":295.22,"Gb(i)":136.2,"Gd(i)":159.02},{"month":3,"time":"11:00","G(i)":339.27,"Gb(i)":164.36,"Gd(i)":174.91},{"month":3,"time":"12:00","G(i)":356.28,"Gb(i)":181.7,"Gd(i)":174.58},{"month":3,"time":"13:00","G(i)":312.69,"Gb(i)":145.45,"Gd(i)":167.24},{"month":3,"time":"14:00","G(i)":290.43,"Gb(i)":133.37,"Gd(i)":157.06},{"month":3,"time":"15:00","G(i)":233.46,"Gb(i)":105.21,"Gd(i)":128.24},{"month":3,"time":"16:00","G(i)":158.64,"Gb(i)":64.08,"Gd(i)":94.56},{"month":3,"time":"17:00","G(i)":70.92,"Gb(i)":25.93,"Gd(i)":44.99},{"month":3,"time":"18:00","G(i)":1.46,"Gb(i)":0.36,"Gd(i)":1.11},{"month":3,"time":"19:00","G(i)":0.0,"Gb(i)":0.0,"Gd(i)":0.0},{"month":3,"time":"20:00","G(i)":0.0,"Gb(i)":0.0,"Gd(i)":0.0},{"month":3,"time":"21:00","G(i)":0.0,"Gb(i)":0.0,"Gd(i)":0.0},{"month":3,"time":"22:00","G(i)":0.0,"Gb(i)":0.0,"Gd(i)":0.0},{"month":3,"time":"23:00","G(i)":0.0,"Gb(i)":0.0,"Gd(i)":0.0},{"month":4,"time":"00:00","G(i)":0.0,"Gb(i)":0.0,"Gd(i)":0.0},{"month":4,"time":"01:00","G(i)":0.0,"Gb(i)":0.0,"Gd(i)":0.0},{"month":4,"time":"02:00","G(i)":0.0,"Gb(i)":0.0,"Gd(i)":0.0},{"month":4,"time":"03:00","G(i)":0.0,"Gb(i)":0.0,"Gd(i)":0.0},{"month":4,"time":"04:00","G(i)":0.0,"Gb(i)":0.0,"Gd(i)":0.0},{"month":4,"time":"05:00","G(i)":0.7,"Gb(i)":0.04,"Gd(i)":0.66},{"month":4,"time":"06:00","G(i)":59.45,"Gb(i)":20.31,"Gd(i)":39.14},{"month":4,"time":"07:00","G(i)":169.88,"Gb(i)":74.85,"Gd(i)":95.03},{"month":4,"time":"08:00","G(i)":298.1,"Gb(i)":154.64,"Gd(i)":143.47},{"month":4,"time":"09:00","G(i)":418.21,"Gb(i)":235.8,"Gd(i)":182.41},{"month":4,"time":"10:00","G(i)":496.13,"Gb(i)":288.22,"Gd(i)":207.91},{"month":4,"time":"11:00","G(i)":517.39,"Gb(i)":288.25,"Gd(i)":229.14},{"month":4,"time":"12:00","G(i)":511.04,"Gb(i)":273.84,"Gd(i)":237.2},{"month":4,"time":"13:00","G(i)":489.69,"Gb(i)":253.85,"Gd(i)":235.84},{"month":4,"time":"14:00","G(i)":433.87,"Gb(i)":220.04,"Gd(i)":213.83},{"month":4,"time":"15:00","G(i)":368.97,"Gb(i)":185.34,"Gd(i)":183.62},{"month":4,"time":"16:00","G(i)":269.37,"Gb(i)":124.86,"Gd(i)":144.51},{"month":4,"time":"17:00","G(i)":170.45,"Gb(i)":75.48,"Gd(i)":94.96},{"month":4,"time":"18:00","G(i)":60.87,"Gb(i)":21.36,"Gd(i)":39.51},{"month":4,"time":"19:00","G(i)":0.07,"Gb(i)":0.0,"Gd(i)":0.07},{"month":4,"time":"20:00","G(i)":0.0,"Gb(i)":0.0,"Gd(i)":0.0},{"month":4,"time":"21:00","G(i)":0.0,"Gb(i)":0.0,"Gd(i)":0.0},{"month":4,"time":"22:00","G(i)":0.0,"Gb(i)":0.0,"Gd(i)":0.0},{"month":4,"time":"23:00","G(i)":0.0,"Gb(i)":0.0,"Gd(i)":0.0},{"month":5,"time":"00:00","G(i)":0.0,"Gb(i)":0.0,"Gd(i)":0.0},{"month":5,"time":"01:00","G(i)":0.0,"Gb(i)":0.0,"Gd(i)":0.0},{"month":5,"time":"02:00","G(i)":0.0,"Gb(i)":0.0,"Gd(i)":0.0},{"month":5,"time":"03:00","G(i)":0.0,"Gb(i)":0.0,"Gd(i)":0.0},{"month":5,"time":"04:00","G(i)":0.0,"Gb(i)":0.0,"Gd(i)":0.0},{"month":5,"time":"05:00","G(i)":36.53,"Gb(i)":10.58,"Gd(i)":25.95},{"month":5,"time":"06:00","G(i)":127.53,"Gb(i)":53.11,"Gd(i)":74.41},{"month":5,"time":"07:00","G(i)":246.1,"Gb(i)":120.24,"Gd(i)":125.87},{"month":5,"time":"08:00","G(i)":369.01,"Gb(i)":199.03,"Gd(i)":169.98},{"month":5,"time":"09:00","G(i)":472.56,"Gb(i)":263.81,"Gd(i)":208.75},{"month":5,"time":"10:00","G(i)":540.43,"Gb(i)":293.8,"Gd(i)":246.63},{"month":5,"time":"11:00","G(i)":557.3,"Gb(i)":299.14,"Gd(i)":258.17},{"month":5,"time":"12:00","G(i)":557.9,"Gb(i)":287.45,"Gd(i)":270.45},{"month":5,"time":"13:00","G(i)":530.01,"Gb(i)":267.59,"Gd(i)":262.42},{"month":5,"time":"14:00","G(i)":470.72,"Gb(i)":222.39,"Gd(i)":248.33},{"month":5,"time":"15:00","G(i)":402.45,"Gb(i)":184.08,"Gd(i)":218.37},{"month":5,"time":"16:00","G(i)":324.69,"Gb(i)":151.42,"Gd(i)":173.28},{"month":5,"time":"17:00","G(i)":221.43,"Gb(i)":97.09,"Gd(i)":124.34},{"month":5,"time":"18:00","G(i)":123.18,"Gb(i)":48.25,"Gd(i)":74.93},{"month":5,"time":"19:00","G(i)":28.57,"Gb(i)":7.23,"Gd(i)":21.35},{"month":5,"time":"20:00","G(i)":0.0,"Gb(i)":0.0,"Gd(i)":0.0},{"month":5,"time":"21:00","G(i)":0.0,"Gb(i)":0.0,"Gd(i)":0.0},{"month":5,"time":"22:00","G(i)":0.0,"Gb(i)":0.0,"Gd(i)":0.0},{"month":5,"time":"23:00","G(i)":0.0,"Gb(i)":0.0,"Gd(i)":0.0},{"month":6,"time":"00:00","G(i)":0.0,"Gb(i)":0.0,"Gd(i)":0.0},{"month":6,"time":"01:00","G(i)":0.0,"Gb(i)":0.0,"Gd(i)":0.0},{"month":6,"time":"02:00","G(i)":0.0,"Gb(i)":0.0,"Gd(i)":0.0},{"month":6,"time":"03:00","G(i)":0.0,"Gb(i)":0.0,"Gd(i)":0.0},{"month":6,"time":"04:00","G(i)":1.57,"Gb(i)":0.24,"Gd(i)":1.33},{"month":6,"time":"05:00","G(i)":58.39,"Gb(i)":18.41,"Gd(i)":39.98},{"month":6,"time":"06:00","G(i)":151.34,"Gb(i)":65.53,"Gd(i)":85.81},{"month":6,"time":"07:00","G(i)":281.17,"Gb(i)":146.21,"Gd(i)":134.96},{"month":6,"time":"08:00","G(i)":408.17,"Gb(i)":223.29,"Gd(i)":184.88},{"month":6,"time":"09:00","G(i)":510.14,"Gb(i)":287.48,"Gd(i)":222.66},{"month":6,"time":"10:00","G(i)":566.94,"Gb(i)":307.94,"Gd(i)":259.0},{"month":6,"time":"11:00","G(i)":595.7,"Gb(i)":315.54,"Gd(i)":280.16},{"month":6,"time":"12:00","G(i)":593.57,"Gb(i)":305.85,"Gd(i)":287.72},{"month":6,"time":"13:00","G(i)":577.57,"Gb(i)":289.66,"Gd(i)":287.92},{"month":6,"time":"14:00","G(i)":522.62,"Gb(i)":258.99,"Gd(i)":263.63},{"month":6,"time":"15:00","G(i)":449.88,"Gb(i)":223.57,"Gd(i)":226.31},{"month":6,"time":"16:00","G(i)":385.15,"Gb(i)":195.38,"Gd(i)":189.77},{"month":6,"time":"17:00","G(i)":272.26,"Gb(i)":125.78,"Gd(i)":146.48},{"month":6,"time":"18:00","G(i)":161.58,"Gb(i)":68.69,"Gd(i)":92.89},{"month":6,"time":"19:00","G(i)":67.58,"Gb(i)":21.89,"Gd(i)":45.69},{"month":6,"time":"20:00","G(i)":1.04,"Gb(i)":0.0,"Gd(i)":1.04},{"month":6,"time":"21:00","G(i)":0.0,"Gb(i)":0.0,"Gd(i)":0.0},{"month":6,"time":"22:00","G(i)":0.0,"Gb(i)":0.0,"Gd(i)":0.0},{"month":6,"time":"23:00","G(i)":0.0,"Gb(i)":0.0,"Gd(i)":0.0},{"month":7,"time":"00:00","G(i)":0.0,"Gb(i)":0.0,"Gd(i)":0.0},{"month":7,"time":"01:00","G(i)":0.0,"Gb(i)":0.0,"Gd(i)":0.0},{"month":7,"time":"02:00","G(i)":0.0,"Gb(i)":0.0,"Gd(i)":0.0},{"month":7,"time":"03:00","G(i)":0.0,"Gb(i)":0.0,"Gd(i)":0.0},{"month":7,"time":"04:00","G(i)":0.0,"Gb(i)":0.0,"Gd(i)":0.0},{"month":7,"time":"05:00","G(i)":39.42,"Gb(i)":9.71,"Gd(i)":29.71},{"month":7,"time":"06:00","G(i)":130.5,"Gb(i)":53.36,"Gd(i)":77.14},{"month":7,"time":"07:00","G(i)":249.57,"Gb(i)":122.4,"Gd(i)":127.17},{"month":7,"time":"08:00","G(i)":375.89,"Gb(i)":205.89,"Gd(i)":170.0},{"month":7,"time":"09:00","G(i)":481.86,"Gb(i)":272.05,"Gd(i)":209.81},{"month":7,"time":"10:00","G(i)":544.22,"Gb(i)":303.34,"Gd(i)":240.88},{"month":7,"time":"11:00","G(i)":563.06,"Gb(i)":292.15,"Gd(i)":270.92},{"month":7,"time":"12:00","G(i)":567.84,"Gb(i)":290.49,"Gd(i)":277.35},{"month":7,"time":"13:00","G(i)":568.91,"Gb(i)":291.51,"Gd(i)":277.4},{"month":7,"time":"14:00","G(i)":497.48,"Gb(i)":248.91,"Gd(i)":248.56},{"month":7,"time":"15:00","G(i)":451.84,"Gb(i)":227.09,"Gd(i)":224.76},{"month":7,"time":"16:00","G(i)":368.11,"Gb(i)":184.21,"Gd(i)":183.9},{"month":7,"time":"17:00","G(i)":268.55,"Gb(i)":131.37,"Gd(i)":137.18},{"month":7,"time":"18:00","G(i)":157.61,"Gb(i)":65.06,"Gd(i)":92.55},{"month":7,"time":"19:00","G(i)":62.53,"Gb(i)":18.49,"Gd(i)":44.04},{"month":7,"time":"20:00","G(i)":0.63,"Gb(i)":0.0,"Gd(i)":0.63},{"month":7,"time":"21:00","G(i)":0.0,"Gb(i)":0.0,"Gd(i)":0.0},{"month":7,"time":"22:00","G(i)":0.0,"Gb(i)":0.0,"Gd(i)":0.0},{"month":7,"time":"23:00","G(i)":0.0,"Gb(i)":0.0,"Gd(i)":0.0},{"month":8,"time":"00:00","G(i)":0.0,"Gb(i)":0.0,"Gd(i)":0.0},{"month":8,"time":"01:00","G(i)":0.0,"Gb(i)":0.0,"Gd(i)":0.0},{"month":8,"time":"02:00","G(i)":0.0,"Gb(i)":0.0,"Gd(i)":0.0},{"month":8,"time":"03:00","G(i)":0.0,"Gb(i)":0.0,"Gd(i)":0.0},{"month":8,"time":"04:00","G(i)":0.0,"Gb(i)":0.0,"Gd(i)":0.0},{"month":8,"time":"05:00","G(i)":6.62,"Gb(i)":1.32,"Gd(i)":5.3},{"month":8,"time":"06:00","G(i)":77.3,"Gb(i)":26.12,"Gd(i)":51.18},{"month":8,"time":"07:00","G(i)":194.09,"Gb(i)":89.82,"Gd(i)":104.27},{"month":8,"time":"08:00","G(i)":318.97,"Gb(i)":166.39,"Gd(i)":152.57},{"month":8,"time":"09:00","G(i)":427.37,"Gb(i)":235.38,"Gd(i)":191.99},{"month":8,"time":"10:00","G(i)":502.01,"Gb(i)":278.6,"Gd(i)":223.41},{"month":8,"time":"11:00","G(i)":512.39,"Gb(i)":270.25,"Gd(i)":242.13},{"month":8,"time":"12:00","G(i)":534.75,"Gb(i)":277.96,"Gd(i)":256.79},{"month":8,"time":"13:00","G(i)":505.19,"Gb(i)":261.17,"Gd(i)":244.02},{"month":8,"time":"14:00","G(i)":451.2,"Gb(i)":229.26,"Gd(i)":221.94},{"month":8,"time":"15:00","G(i)":377.86,"Gb(i)":180.45,"Gd(i)":197.41},{"month":8,"time":"16:00","G(i)":302.18,"Gb(i)":144.16,"Gd(i)":158.03},{"month":8,"time":"17:00","G(i)":204.11,"Gb(i)":92.92,"Gd(i)":111.19},{"month":8,"time":"18:00","G(i)":96.74,"Gb(i)":36.56,"Gd(i)":60.18},{"month":8,"time":"19:00","G(i)":12.58,"Gb(i)":3.07,"Gd(i)":9.51},{"month":8,"time":"20:00","G(i)":0.0,"Gb(i)":0.0,"Gd(i)":0.0},{"month":8,"time":"21:00","G(i)":0.0,"Gb(i)":0.0,"Gd(i)":0.0},{"month":8,"time":"22:00","G(i)":0.0,"Gb(i)":0.0,"Gd(i)":0.0},{"month":8,"time":"23:00","G(i)":0.0,"Gb(i)":0.0,"Gd(i)":0.0},{"month":9,"time":"00:00","G(i)":0.0,"Gb(i)":0.0,"Gd(i)":0.0},{"month":9,"time":"01:00","G(i)":0.0,"Gb(i)":0.0,"Gd(i)":0.0},{"month":9,"time":"02:00","G(i)":0.0,"Gb(i)":0.0,"Gd(i)":0.0},{"month":9,"time":"03:00","G(i)":0.0,"Gb(i)":0.0,"Gd(i)":0.0},{"month":9,"time":"04:00","G(i)":0.0,"Gb(i)":0.0,"Gd(i)":0.0},{"month":9,"time":"05:00","G(i)":0.0,"Gb(i)":0.0,"Gd(i)":0.0},{"month":9,"time":"06:00","G(i)":18.26,"Gb(i)":4.84,"Gd(i)":13.42},{"month":9,"time":"07:00","G(i)":115.31,"Gb(i)":46.06,"Gd(i)":69.25},{"month":9,"time":"08:00","G(i)":229.66,"Gb(i)":115.18,"Gd(i)":114.47},{"month":9,"time":"09:00","G(i)":334.98,"Gb(i)":182.94,"Gd(i)":152.04},{"month":9,"time":"10:00","G(i)":410.09,"Gb(i)":235.4,"Gd(i)":174.69},{"month":9,"time":"11:00","G(i)":436.96,"Gb(i)":242.35,"Gd(i)":194.61},{"month":9,"time":"12:00","G(i)":429.95,"Gb(i)":226.47,"Gd(i)":203.48},{"month":9,"time":"13:00","G(i)":402.04,"Gb(i)":206.88,"Gd(i)":195.16},{"month":9,"time":"14:00","G(i)":360.76,"Gb(i)":181.77,"Gd(i)":178.99},{"month":9,"time":"15:00","G(i)":280.74,"Gb(i)":136.08,"Gd(i)":144.66},{"month":9,"time":"16:00","G(i)":186.01,"Gb(i)":77.03,"Gd(i)":108.98},{"month":9,"time":"17:00","G(i)":94.71,"Gb(i)":36.2,"Gd(i)":58.5},{"month":9,"time":"18:00","G(i)":9.74,"Gb(i)":2.36,"Gd(i)":7.38},{"month":9,"time":"19:00","G(i)":0.0,"Gb(i)":0.0,"Gd(i)":0.0},{"month":9,"time":"20:00","G(i)":0.0,"Gb(i)":0.0,"Gd(i)":0.0},{"month":9,"time":"21:00","G(i)":0.0,"Gb(i)":0.0,"Gd(i)":0.0},{"month":9,"time":"22:00","G(i)":0.0,"Gb(i)":0.0,"Gd(i)":0.0},{"month":9,"time":"23:00","G(i)":0.0,"Gb(i)":0.0,"Gd(i)":0.0},{"month":10,"time":"00:00","G(i)":0.0,"Gb(i)":0.0,"Gd(i)":0.0},{"month":10,"time":"01:00","G(i)":0.0,"Gb(i)":0.0,"Gd(i)":0.0},{"month":10,"time":"02:00","G(i)":0.0,"Gb(i)":0.0,"Gd(i)":0.0},{"month":10,"time":"03:00","G(i)":0.0,"Gb(i)":0.0,"Gd(i)":0.0},{"month":10,"time":"04:00","G(i)":0.0,"Gb(i)":0.0,"Gd(i)":0.0},{"month":10,"time":"05:00","G(i)":0.0,"Gb(i)":0.0,"Gd(i)":0.0},{"month":10,"time":"06:00","G(i)":0.0,"Gb(i)":0.0,"Gd(i)":0.0},{"month":10,"time":"07:00","G(i)":30.51,"Gb(i)":10.4,"Gd(i)":20.12},{"month":10,"time":"08:00","G(i)":115.21,"Gb(i)":44.4,"Gd(i)":70.82},{"month":10,"time":"09:00","G(i)":192.21,"Gb(i)":85.58,"Gd(i)":106.63},{"month":10,"time":"10:00","G(i)":243.72,"Gb(i)":124.83,"Gd(i)":118.89},{"month":10,"time":"11:00","G(i)":287.5,"Gb(i)":150.51,"Gd(i)":136.99},{"month":10,"time":"12:00","G(i)":284.99,"Gb(i)":141.63,"Gd(i)":143.36},{"month":10,"time":"13:00","G(i)":250.1,"Gb(i)":122.19,"Gd(i)":127.92},{"month":10,"time":"14:00","G(i)":203.62,"Gb(i)":92.86,"Gd(i)":110.76},{"month":10,"time":"15:00","G(i)":139.75,"Gb(i)":59.65,"Gd(i)":80.09},{"month":10,"time":"16:00","G(i)":64.78,"Gb(i)":22.72,"Gd(i)":42.06},{"month":10,"time":"17:00","G(i)":2.57,"Gb(i)":0.32,"Gd(i)":2.25},{"month":10,"time":"18:00","G(i)":0.0,"Gb(i)":0.0,"Gd(i)":0.0},{"month":10,"time":"19:00","G(i)":0.0,"Gb(i)":0.0,"Gd(i)":0.0},{"month":10,"time":"20:00","G(i)":0.0,"Gb(i)":0.0,"Gd(i)":0.0},{"month":10,"time":"21:00","G(i)":0.0,"Gb(i)":0.0,"Gd(i)":0.0},{"month":10,"time":"22:00","G(i)":0.0,"Gb(i)":0.0,"Gd(i)":0.0},{"month":10,"time":"23:00","G(i)":0.0,"Gb(i)":0.0,"Gd(i)":0.0},{"month":11,"time":"00:00","G(i)":0.0,"Gb(i)":0.0,"Gd(i)":0.0},{"month":11,"time":"01:00","G(i)":0.0,"Gb(i)":0.0,"Gd(i)":0.0},{"month":11,"time":"02:00","G(i)":0.0,"Gb(i)":0.0,"Gd(i)":0.0},{"month":11,"time":"03:00","G(i)":0.0,"Gb(i)":0.0,"Gd(i)":0.0},{"month":11,"time":"04:00","G(i)":0.0,"Gb(i)":0.0,"Gd(i)":0.0},{"month":11,"time":"05:00","G(i)":0.0,"Gb(i)":0.0,"Gd(i)":0.0},{"month":11,"time":"06:00","G(i)":0.0,"Gb(i)":0.0,"Gd(i)":0.0},{"month":11,"time":"07:00","G(i)":0.0,"Gb(i)":0.0,"Gd(i)":0.0},{"month":11,"time":"08:00","G(i)":26.14,"Gb(i)":7.66,"Gd(i)":18.49},{"month":11,"time":"09:00","G(i)":85.28,"Gb(i)":28.41,"Gd(i)":56.87},{"month":11,"time":"10:00","G(i)":119.47,"Gb(i)":43.37,"Gd(i)":76.09},{"month":11,"time":"11:00","G(i)":154.97,"Gb(i)":60.75,"Gd(i)":94.22},{"month":11,"time":"12:00","G(i)":157.18,"Gb(i)":63.88,"Gd(i)":93.3},{"month":11,"time":"13:00","G(i)":134.17,"Gb(i)":52.32,"Gd(i)":81.85},{"month":11,"time":"14:00","G(i)":99.03,"Gb(i)":33.81,"Gd(i)":65.22},{"month":11,"time":"15:00","G(i)":47.99,"Gb(i)":14.25,"Gd(i)":33.75},{"month":11,"time":"16:00","G(i)":1.22,"Gb(i)":0.15,"Gd(i)":1.08},{"month":11,"time":"17:00","G(i)":0.0,"Gb(i)":0.0,"Gd(i)":0.0},{"month":11,"time":"18:00","G(i)":0.0,"Gb(i)":0.0,"Gd(i)":0.0},{"month":11,"time":"19:00","G(i)":0.0,"Gb(i)":0.0,"Gd(i)":0.0},{"month":11,"time":"20:00","G(i)":0.0,"Gb(i)":0.0,"Gd(i)":0.0},{"month":11,"time":"21:00","G(i)":0.0,"Gb(i)":0.0,"Gd(i)":0.0},{"month":11,"time":"22:00","G(i)":0.0,"Gb(i)":0.0,"Gd(i)":0.0},{"month":11,"time":"23:00","G(i)":0.0,"Gb(i)":0.0,"Gd(i)":0.0},{"month":12,"time":"00:00","G(i)":0.0,"Gb(i)":0.0,"Gd(i)":0.0},{"month":12,"time":"01:00","G(i)":0.0,"Gb(i)":0.0,"Gd(i)":0.0},{"month":12,"time":"02:00","G(i)":0.0,"Gb(i)":0.0,"Gd(i)":0.0},{"month":12,"time":"03:00","G(i)":0.0,"Gb(i)":0.0,"Gd(i)":0.0},{"month":12,"time":"04:00","G(i)":0.0,"Gb(i)":0.0,"Gd(i)":0.0},{"month":12,"time":"05:00","G(i)":0.0,"Gb(i)":0.0,"Gd(i)":0.0},{"month":12,"time":"06:00","G(i)":0.0,"Gb(i)":0.0,"Gd(i)":0.0},{"month":12,"time":"07:00","G(i)":0.0,"Gb(i)":0.0,"Gd(i)":0.0},{"month":12,"time":"08:00","G(i)":0.0,"Gb(i)":0.0,"Gd(i)":0.0},{"month":12,"time":"09:00","G(i)":35.93,"Gb(i)":9.08,"Gd(i)":26.85},{"month":12,"time":"10:00","G(i)":81.78,"Gb(i)":24.85,"Gd(i)":56.93},{"month":12,"time":"11:00","G(i)":105.03,"Gb(i)":35.05,"Gd(i)":69.98},{"month":12,"time":"12:00","G(i)":108.61,"Gb(i)":35.37,"Gd(i)":73.24},{"month":12,"time":"13:00","G(i)":97.66,"Gb(i)":33.36,"Gd(i)":64.29},{"month":12,"time":"14:00","G(i)":68.57,"Gb(i)":22.2,"Gd(i)":46.37},{"month":12,"time":"15:00","G(i)":22.13,"Gb(i)":6.28,"Gd(i)":15.85},{"month":12,"time":"16:00","G(i)":0.0,"Gb(i)":0.0,"Gd(i)":0.0},{"month":12,"time":"17:00","G(i)":0.0,"Gb(i)":0.0,"Gd(i)":0.0},{"month":12,"time":"18:00","G(i)":0.0,"Gb(i)":0.0,"Gd(i)":0.0},{"month":12,"time":"19:00","G(i)":0.0,"Gb(i)":0.0,"Gd(i)":0.0},{"month":12,"time":"20:00","G(i)":0.0,"Gb(i)":0.0,"Gd(i)":0.0},{"month":12,"time":"21:00","G(i)":0.0,"Gb(i)":0.0,"Gd(i)":0.0},{"month":12,"time":"22:00","G(i)":0.0,"Gb(i)":0.0,"Gd(i)":0.0},{"month":12,"time":"23:00","G(i)":0.0,"Gb(i)":0.0,"Gd(i)":0.0}]},"meta":{"inputs":{"location":{"description":"Selected location","variables":{"latitude":{"description":"Latitude","units":"decimal degree"},"longitude":{"description":"Longitude","units":"decimal degree"},"elevation":{"description":"Elevation","units":"m"}}},"meteo_data":{"description":"Sources of meteorological data","variables":{"radiation_db":{"description":"Solar radiation database"},"meteo_db":{"description":"Database used for meteorological variables other than solar radiation"},"year_min":{"description":"First year of the calculations"},"year_max":{"description":"Last year of the calculations"},"use_horizon":{"description":"Include horizon shadows"},"horizon_db":{"description":"Source of horizon data"}}},"plane":{"description":"plane","fields":{"slope":{"description":"Inclination angle from the horizontal plane","units":"degree"},"azimuth":{"description":"Orientation (azimuth) angle of the (fixed) PV system (0 = S, 90 = W, -90 = E)","units":"degree"}}},"time_format":[{"description":"Local or UTC"}]},"outputs":{"daily_profile":{"type":"time series","timestamp":"hourly","variables":{"G(i)":{"description":" Global irradiance on a fixed plane","units":"W/m2"},"Gb(i)":{"description":"Direct irradiance on a fixed plane","units":"W/m2"},"Gd(i)":{"description":"Diffuse irradiance on a fixed plane","units":"W/m2"}}}}}}</t>
  </si>
  <si>
    <t>https://re.jrc.ec.europa.eu/pvg_tools/en/#DR</t>
  </si>
  <si>
    <t>Silverline Wärmepumpe On/Off 22 kW
Preis: 2189 €</t>
  </si>
  <si>
    <t>Silverline Wärmepumpe On/Off 18 kW
Preis: 1790 €</t>
  </si>
  <si>
    <t>Silverline Wärmepumpe On/Off 15 kW
Preis: 1590 €</t>
  </si>
</sst>
</file>

<file path=xl/styles.xml><?xml version="1.0" encoding="utf-8"?>
<styleSheet xmlns="http://schemas.openxmlformats.org/spreadsheetml/2006/main">
  <numFmts count="2">
    <numFmt numFmtId="164" formatCode="0.0"/>
    <numFmt numFmtId="165" formatCode="0.000"/>
  </numFmts>
  <fonts count="25">
    <font>
      <sz val="11"/>
      <color theme="1"/>
      <name val="Calibri"/>
      <family val="2"/>
      <scheme val="minor"/>
    </font>
    <font>
      <b/>
      <sz val="11"/>
      <color theme="1"/>
      <name val="Calibri"/>
      <family val="2"/>
      <scheme val="minor"/>
    </font>
    <font>
      <u/>
      <sz val="14.3"/>
      <color theme="10"/>
      <name val="Calibri"/>
      <family val="2"/>
    </font>
    <font>
      <b/>
      <u/>
      <sz val="11"/>
      <color theme="1"/>
      <name val="Calibri"/>
      <family val="2"/>
      <scheme val="minor"/>
    </font>
    <font>
      <b/>
      <sz val="11"/>
      <color rgb="FFFF0000"/>
      <name val="Calibri"/>
      <family val="2"/>
      <scheme val="minor"/>
    </font>
    <font>
      <vertAlign val="subscript"/>
      <sz val="11"/>
      <color theme="1"/>
      <name val="Calibri"/>
      <family val="2"/>
      <scheme val="minor"/>
    </font>
    <font>
      <sz val="8"/>
      <color theme="1"/>
      <name val="Calibri"/>
      <family val="2"/>
      <scheme val="minor"/>
    </font>
    <font>
      <sz val="8"/>
      <color theme="1"/>
      <name val="Wingdings"/>
      <charset val="2"/>
    </font>
    <font>
      <b/>
      <sz val="12"/>
      <color theme="1"/>
      <name val="Calibri"/>
      <family val="2"/>
      <scheme val="minor"/>
    </font>
    <font>
      <b/>
      <sz val="11"/>
      <color theme="1"/>
      <name val="Symbol"/>
      <family val="1"/>
      <charset val="2"/>
    </font>
    <font>
      <b/>
      <sz val="13.2"/>
      <color theme="1"/>
      <name val="Calibri"/>
      <family val="2"/>
    </font>
    <font>
      <b/>
      <sz val="8"/>
      <color theme="1"/>
      <name val="Calibri"/>
      <family val="2"/>
      <scheme val="minor"/>
    </font>
    <font>
      <sz val="8"/>
      <color theme="1"/>
      <name val="Symbol"/>
      <family val="1"/>
      <charset val="2"/>
    </font>
    <font>
      <b/>
      <sz val="8"/>
      <color theme="1"/>
      <name val="Symbol"/>
      <family val="1"/>
      <charset val="2"/>
    </font>
    <font>
      <u/>
      <sz val="12"/>
      <color theme="10"/>
      <name val="Calibri"/>
      <family val="2"/>
    </font>
    <font>
      <u/>
      <sz val="11"/>
      <color theme="10"/>
      <name val="Calibri"/>
      <family val="2"/>
    </font>
    <font>
      <b/>
      <sz val="11"/>
      <color theme="0"/>
      <name val="Calibri"/>
      <family val="2"/>
      <scheme val="minor"/>
    </font>
    <font>
      <sz val="11"/>
      <color theme="0"/>
      <name val="Calibri"/>
      <family val="2"/>
      <scheme val="minor"/>
    </font>
    <font>
      <u/>
      <sz val="12"/>
      <color theme="0"/>
      <name val="Calibri"/>
      <family val="2"/>
    </font>
    <font>
      <sz val="12"/>
      <color theme="1"/>
      <name val="Calibri"/>
      <family val="2"/>
      <scheme val="minor"/>
    </font>
    <font>
      <sz val="11"/>
      <name val="Calibri"/>
      <family val="2"/>
      <scheme val="minor"/>
    </font>
    <font>
      <b/>
      <u/>
      <sz val="14"/>
      <color theme="1"/>
      <name val="Calibri"/>
      <family val="2"/>
      <scheme val="minor"/>
    </font>
    <font>
      <sz val="11"/>
      <color rgb="FFFF0000"/>
      <name val="Calibri"/>
      <family val="2"/>
      <scheme val="minor"/>
    </font>
    <font>
      <sz val="8"/>
      <name val="Calibri"/>
      <family val="2"/>
    </font>
    <font>
      <sz val="11"/>
      <color rgb="FF000000"/>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233">
    <xf numFmtId="0" fontId="0" fillId="0" borderId="0" xfId="0"/>
    <xf numFmtId="0" fontId="0" fillId="0" borderId="0" xfId="0" applyAlignment="1">
      <alignment vertical="center"/>
    </xf>
    <xf numFmtId="0" fontId="0" fillId="0" borderId="0" xfId="0" applyBorder="1" applyAlignment="1">
      <alignment vertical="center"/>
    </xf>
    <xf numFmtId="0" fontId="0" fillId="0" borderId="0" xfId="0" applyAlignment="1">
      <alignment vertical="center" wrapText="1"/>
    </xf>
    <xf numFmtId="0" fontId="0" fillId="4" borderId="0" xfId="0" applyFill="1" applyBorder="1" applyAlignment="1">
      <alignment horizontal="center" vertical="center"/>
    </xf>
    <xf numFmtId="0" fontId="0" fillId="3" borderId="0" xfId="0" applyFill="1" applyBorder="1" applyAlignment="1">
      <alignment horizontal="center" vertical="center"/>
    </xf>
    <xf numFmtId="0" fontId="1" fillId="0" borderId="0" xfId="0" applyFont="1" applyAlignment="1">
      <alignment vertical="center"/>
    </xf>
    <xf numFmtId="2" fontId="1" fillId="2" borderId="1" xfId="0" applyNumberFormat="1" applyFont="1" applyFill="1" applyBorder="1" applyAlignment="1">
      <alignment horizontal="center" vertical="center"/>
    </xf>
    <xf numFmtId="0" fontId="3" fillId="0" borderId="0" xfId="0" applyFont="1" applyAlignment="1">
      <alignment vertical="center"/>
    </xf>
    <xf numFmtId="0" fontId="1" fillId="0" borderId="14" xfId="0" applyFont="1" applyBorder="1" applyAlignment="1">
      <alignment horizontal="right" vertical="center"/>
    </xf>
    <xf numFmtId="0" fontId="1" fillId="0" borderId="14" xfId="0" applyFont="1" applyBorder="1" applyAlignment="1">
      <alignment horizontal="center" vertical="center"/>
    </xf>
    <xf numFmtId="0" fontId="1" fillId="0" borderId="14" xfId="0" applyFont="1" applyBorder="1" applyAlignment="1">
      <alignment vertical="center"/>
    </xf>
    <xf numFmtId="14" fontId="0" fillId="0" borderId="0" xfId="0" applyNumberFormat="1" applyAlignment="1">
      <alignment vertical="center"/>
    </xf>
    <xf numFmtId="0" fontId="0" fillId="0" borderId="0" xfId="0" applyAlignment="1">
      <alignment horizontal="center" vertical="center"/>
    </xf>
    <xf numFmtId="0" fontId="4" fillId="0" borderId="16" xfId="0" applyFont="1" applyBorder="1" applyAlignment="1">
      <alignment vertical="center" wrapText="1"/>
    </xf>
    <xf numFmtId="0" fontId="4" fillId="0" borderId="0" xfId="0" applyFont="1" applyBorder="1" applyAlignment="1">
      <alignment vertical="center" wrapText="1"/>
    </xf>
    <xf numFmtId="0" fontId="1" fillId="0" borderId="0" xfId="0" applyFont="1" applyAlignment="1">
      <alignment horizontal="center" vertical="center"/>
    </xf>
    <xf numFmtId="2" fontId="0" fillId="0" borderId="0" xfId="0" applyNumberFormat="1" applyBorder="1" applyAlignment="1">
      <alignment vertical="center"/>
    </xf>
    <xf numFmtId="0" fontId="1" fillId="0" borderId="18" xfId="0" applyFont="1" applyBorder="1" applyAlignment="1">
      <alignment vertical="center"/>
    </xf>
    <xf numFmtId="0" fontId="1" fillId="0" borderId="27" xfId="0" applyFont="1" applyBorder="1" applyAlignment="1">
      <alignment vertical="center"/>
    </xf>
    <xf numFmtId="0" fontId="1" fillId="0" borderId="28" xfId="0" applyFont="1" applyBorder="1" applyAlignment="1">
      <alignment vertical="center"/>
    </xf>
    <xf numFmtId="0" fontId="1" fillId="0" borderId="29" xfId="0" applyFont="1" applyBorder="1" applyAlignment="1">
      <alignment vertical="center"/>
    </xf>
    <xf numFmtId="2" fontId="1" fillId="2" borderId="20" xfId="0" applyNumberFormat="1" applyFont="1" applyFill="1" applyBorder="1" applyAlignment="1">
      <alignment horizontal="center" vertical="center"/>
    </xf>
    <xf numFmtId="2" fontId="1" fillId="2" borderId="25" xfId="0" applyNumberFormat="1" applyFont="1" applyFill="1" applyBorder="1" applyAlignment="1">
      <alignment horizontal="center" vertical="center"/>
    </xf>
    <xf numFmtId="2" fontId="0" fillId="3" borderId="0" xfId="0" applyNumberFormat="1" applyFill="1" applyBorder="1" applyAlignment="1">
      <alignment horizontal="center" vertical="center"/>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164" fontId="0" fillId="3" borderId="21" xfId="0" applyNumberFormat="1" applyFill="1" applyBorder="1" applyAlignment="1">
      <alignment horizontal="center" vertical="center"/>
    </xf>
    <xf numFmtId="164" fontId="0" fillId="3" borderId="23" xfId="0" applyNumberFormat="1" applyFill="1" applyBorder="1" applyAlignment="1">
      <alignment horizontal="center" vertical="center"/>
    </xf>
    <xf numFmtId="164" fontId="0" fillId="3" borderId="26" xfId="0" applyNumberFormat="1" applyFill="1" applyBorder="1" applyAlignment="1">
      <alignment horizontal="center" vertical="center"/>
    </xf>
    <xf numFmtId="0" fontId="0" fillId="6" borderId="0" xfId="0"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2" fontId="0" fillId="3" borderId="3" xfId="0" applyNumberFormat="1" applyFill="1" applyBorder="1" applyAlignment="1">
      <alignment horizontal="center" vertical="center"/>
    </xf>
    <xf numFmtId="0" fontId="0" fillId="0" borderId="4" xfId="0" applyBorder="1" applyAlignment="1">
      <alignment vertical="center"/>
    </xf>
    <xf numFmtId="0" fontId="0" fillId="0" borderId="5" xfId="0" applyBorder="1" applyAlignment="1">
      <alignment vertical="center"/>
    </xf>
    <xf numFmtId="0" fontId="0" fillId="0" borderId="0" xfId="0"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8" xfId="0" applyBorder="1" applyAlignment="1">
      <alignment horizontal="center" vertical="center"/>
    </xf>
    <xf numFmtId="2" fontId="0" fillId="3" borderId="8" xfId="0" applyNumberFormat="1" applyFill="1" applyBorder="1" applyAlignment="1">
      <alignment horizontal="center" vertical="center"/>
    </xf>
    <xf numFmtId="0" fontId="0" fillId="0" borderId="9" xfId="0"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0" fillId="0" borderId="34" xfId="0" applyBorder="1" applyAlignment="1">
      <alignment vertical="center"/>
    </xf>
    <xf numFmtId="2" fontId="0" fillId="0" borderId="35" xfId="0" applyNumberFormat="1" applyBorder="1" applyAlignment="1">
      <alignment vertical="center"/>
    </xf>
    <xf numFmtId="165" fontId="1" fillId="2" borderId="1" xfId="0" applyNumberFormat="1" applyFont="1" applyFill="1" applyBorder="1" applyAlignment="1">
      <alignment horizontal="center" vertical="center"/>
    </xf>
    <xf numFmtId="1" fontId="1" fillId="2" borderId="22"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0" borderId="0" xfId="0" applyFont="1" applyBorder="1" applyAlignment="1">
      <alignment horizontal="center" vertical="center" wrapText="1"/>
    </xf>
    <xf numFmtId="164" fontId="0" fillId="0" borderId="0" xfId="0" applyNumberFormat="1" applyFill="1" applyBorder="1" applyAlignment="1">
      <alignment horizontal="center" vertical="center"/>
    </xf>
    <xf numFmtId="0" fontId="0" fillId="0" borderId="0" xfId="0" applyFill="1" applyBorder="1" applyAlignment="1">
      <alignment vertical="center"/>
    </xf>
    <xf numFmtId="0" fontId="0" fillId="6" borderId="5" xfId="0" applyFill="1" applyBorder="1" applyAlignment="1">
      <alignment vertical="center"/>
    </xf>
    <xf numFmtId="0" fontId="0" fillId="6" borderId="0" xfId="0" applyFill="1" applyBorder="1" applyAlignment="1">
      <alignment vertical="center"/>
    </xf>
    <xf numFmtId="0" fontId="0" fillId="6" borderId="6" xfId="0" applyFill="1" applyBorder="1" applyAlignment="1">
      <alignment vertical="center"/>
    </xf>
    <xf numFmtId="0" fontId="7" fillId="6" borderId="11"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16" xfId="0" applyFont="1" applyFill="1" applyBorder="1" applyAlignment="1">
      <alignment vertical="center"/>
    </xf>
    <xf numFmtId="2" fontId="6" fillId="6" borderId="0" xfId="0" applyNumberFormat="1" applyFont="1" applyFill="1" applyBorder="1" applyAlignment="1">
      <alignment horizontal="center" vertical="center"/>
    </xf>
    <xf numFmtId="0" fontId="7" fillId="6" borderId="17" xfId="0" applyFont="1" applyFill="1" applyBorder="1" applyAlignment="1">
      <alignment horizontal="right" vertical="center"/>
    </xf>
    <xf numFmtId="0" fontId="7" fillId="6" borderId="0" xfId="0" applyFont="1" applyFill="1" applyBorder="1" applyAlignment="1">
      <alignment horizontal="right" vertical="center"/>
    </xf>
    <xf numFmtId="0" fontId="0" fillId="6" borderId="7"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14" fillId="0" borderId="0" xfId="1" applyFont="1" applyAlignment="1" applyProtection="1">
      <alignment horizontal="center" vertical="center"/>
    </xf>
    <xf numFmtId="0" fontId="8" fillId="0" borderId="0" xfId="0" applyFont="1" applyAlignment="1">
      <alignment vertical="center"/>
    </xf>
    <xf numFmtId="2" fontId="1" fillId="0" borderId="0" xfId="0" applyNumberFormat="1" applyFont="1" applyFill="1" applyBorder="1" applyAlignment="1">
      <alignment horizontal="center" vertical="center"/>
    </xf>
    <xf numFmtId="165" fontId="1" fillId="0" borderId="0" xfId="0" applyNumberFormat="1" applyFont="1" applyFill="1" applyBorder="1" applyAlignment="1">
      <alignment horizontal="center" vertical="center"/>
    </xf>
    <xf numFmtId="164" fontId="0" fillId="0" borderId="0" xfId="0" applyNumberFormat="1" applyAlignment="1">
      <alignment horizontal="center" vertical="center"/>
    </xf>
    <xf numFmtId="0" fontId="0" fillId="0" borderId="0" xfId="0" applyFill="1" applyAlignment="1">
      <alignment vertical="center"/>
    </xf>
    <xf numFmtId="2" fontId="0" fillId="0" borderId="0" xfId="0" applyNumberFormat="1" applyAlignment="1">
      <alignment horizontal="center" vertical="center"/>
    </xf>
    <xf numFmtId="1" fontId="0" fillId="0" borderId="0" xfId="0" applyNumberFormat="1" applyAlignment="1">
      <alignment vertical="center"/>
    </xf>
    <xf numFmtId="0" fontId="1" fillId="0" borderId="3" xfId="0" applyFont="1" applyBorder="1" applyAlignment="1">
      <alignment horizontal="center" vertical="center"/>
    </xf>
    <xf numFmtId="0" fontId="1" fillId="0" borderId="36" xfId="0" applyFont="1" applyBorder="1" applyAlignment="1">
      <alignment horizontal="center" vertical="center"/>
    </xf>
    <xf numFmtId="164" fontId="1" fillId="2" borderId="1" xfId="0" applyNumberFormat="1" applyFont="1" applyFill="1" applyBorder="1" applyAlignment="1">
      <alignment horizontal="center" vertical="center"/>
    </xf>
    <xf numFmtId="164" fontId="1" fillId="0" borderId="1" xfId="0" applyNumberFormat="1" applyFont="1" applyFill="1" applyBorder="1" applyAlignment="1">
      <alignment horizontal="center" vertical="center"/>
    </xf>
    <xf numFmtId="164" fontId="0" fillId="0" borderId="1" xfId="0" applyNumberFormat="1" applyBorder="1" applyAlignment="1">
      <alignment horizontal="center" vertical="center"/>
    </xf>
    <xf numFmtId="0" fontId="1" fillId="0" borderId="2" xfId="0" applyFont="1" applyBorder="1" applyAlignment="1">
      <alignment horizontal="center" vertical="center"/>
    </xf>
    <xf numFmtId="164" fontId="1" fillId="2" borderId="22" xfId="0" applyNumberFormat="1" applyFont="1" applyFill="1" applyBorder="1" applyAlignment="1">
      <alignment horizontal="center" vertical="center"/>
    </xf>
    <xf numFmtId="164" fontId="1" fillId="0" borderId="22" xfId="0" applyNumberFormat="1" applyFont="1" applyFill="1" applyBorder="1" applyAlignment="1">
      <alignment horizontal="center" vertical="center"/>
    </xf>
    <xf numFmtId="164" fontId="0" fillId="0" borderId="22" xfId="0" applyNumberFormat="1" applyBorder="1" applyAlignment="1">
      <alignment horizontal="center" vertical="center"/>
    </xf>
    <xf numFmtId="164" fontId="1" fillId="2" borderId="37" xfId="0" applyNumberFormat="1" applyFont="1" applyFill="1" applyBorder="1" applyAlignment="1">
      <alignment horizontal="center" vertical="center"/>
    </xf>
    <xf numFmtId="164" fontId="1" fillId="0" borderId="37" xfId="0" applyNumberFormat="1" applyFont="1" applyFill="1" applyBorder="1" applyAlignment="1">
      <alignment horizontal="center" vertical="center"/>
    </xf>
    <xf numFmtId="164" fontId="1" fillId="0" borderId="28" xfId="0" applyNumberFormat="1" applyFont="1" applyFill="1" applyBorder="1" applyAlignment="1">
      <alignment horizontal="center" vertical="center"/>
    </xf>
    <xf numFmtId="164" fontId="0" fillId="0" borderId="28" xfId="0" applyNumberFormat="1" applyBorder="1" applyAlignment="1">
      <alignment horizontal="center" vertical="center"/>
    </xf>
    <xf numFmtId="0" fontId="0" fillId="0" borderId="28" xfId="0" applyBorder="1" applyAlignment="1">
      <alignment vertical="center"/>
    </xf>
    <xf numFmtId="2" fontId="0" fillId="0" borderId="28" xfId="0" applyNumberFormat="1" applyBorder="1" applyAlignment="1">
      <alignment horizontal="center" vertical="center"/>
    </xf>
    <xf numFmtId="0" fontId="0" fillId="0" borderId="24" xfId="0" applyBorder="1" applyAlignment="1">
      <alignment vertical="center"/>
    </xf>
    <xf numFmtId="0" fontId="0" fillId="0" borderId="25" xfId="0" applyBorder="1" applyAlignment="1">
      <alignment vertical="center"/>
    </xf>
    <xf numFmtId="0" fontId="0" fillId="0" borderId="38" xfId="0" applyBorder="1" applyAlignment="1">
      <alignment vertical="center"/>
    </xf>
    <xf numFmtId="0" fontId="0" fillId="0" borderId="29" xfId="0" applyBorder="1" applyAlignment="1">
      <alignment vertical="center"/>
    </xf>
    <xf numFmtId="0" fontId="0" fillId="0" borderId="40" xfId="0" applyBorder="1" applyAlignment="1">
      <alignment vertical="center"/>
    </xf>
    <xf numFmtId="0" fontId="1" fillId="0" borderId="5" xfId="0" applyFont="1" applyBorder="1" applyAlignment="1">
      <alignment vertical="center"/>
    </xf>
    <xf numFmtId="0" fontId="0" fillId="0" borderId="5" xfId="0" applyFill="1" applyBorder="1" applyAlignment="1">
      <alignment vertical="center"/>
    </xf>
    <xf numFmtId="0" fontId="0" fillId="0" borderId="6" xfId="0" applyFill="1" applyBorder="1" applyAlignment="1">
      <alignment vertical="center"/>
    </xf>
    <xf numFmtId="0" fontId="1" fillId="0" borderId="5" xfId="0" applyFont="1" applyFill="1" applyBorder="1" applyAlignment="1">
      <alignment vertical="center"/>
    </xf>
    <xf numFmtId="0" fontId="6" fillId="0" borderId="0" xfId="0" applyFont="1" applyAlignment="1">
      <alignment vertical="center"/>
    </xf>
    <xf numFmtId="164" fontId="0" fillId="3" borderId="22" xfId="0" applyNumberFormat="1" applyFill="1" applyBorder="1" applyAlignment="1">
      <alignment horizontal="center" vertical="center"/>
    </xf>
    <xf numFmtId="164" fontId="0" fillId="3" borderId="1" xfId="0" applyNumberFormat="1" applyFill="1" applyBorder="1" applyAlignment="1">
      <alignment horizontal="center" vertical="center"/>
    </xf>
    <xf numFmtId="164" fontId="0" fillId="3" borderId="37" xfId="0" applyNumberFormat="1" applyFill="1" applyBorder="1" applyAlignment="1">
      <alignment horizontal="center" vertical="center"/>
    </xf>
    <xf numFmtId="0" fontId="16" fillId="7" borderId="40" xfId="0" applyFont="1" applyFill="1" applyBorder="1" applyAlignment="1">
      <alignment vertical="center"/>
    </xf>
    <xf numFmtId="0" fontId="17" fillId="7" borderId="19" xfId="0" applyFont="1" applyFill="1" applyBorder="1" applyAlignment="1">
      <alignment vertical="center"/>
    </xf>
    <xf numFmtId="0" fontId="17" fillId="7" borderId="20" xfId="0" applyFont="1" applyFill="1" applyBorder="1" applyAlignment="1">
      <alignment vertical="center"/>
    </xf>
    <xf numFmtId="0" fontId="17" fillId="7" borderId="39" xfId="0" applyFont="1" applyFill="1" applyBorder="1" applyAlignment="1">
      <alignment vertical="center"/>
    </xf>
    <xf numFmtId="0" fontId="17" fillId="7" borderId="40" xfId="0" applyFont="1" applyFill="1" applyBorder="1" applyAlignment="1">
      <alignment vertical="center"/>
    </xf>
    <xf numFmtId="2" fontId="0" fillId="3" borderId="22" xfId="0" applyNumberFormat="1" applyFill="1" applyBorder="1" applyAlignment="1">
      <alignment horizontal="center" vertical="center"/>
    </xf>
    <xf numFmtId="2" fontId="0" fillId="3" borderId="1" xfId="0" applyNumberFormat="1" applyFill="1" applyBorder="1" applyAlignment="1">
      <alignment horizontal="center" vertical="center"/>
    </xf>
    <xf numFmtId="0" fontId="16" fillId="7" borderId="2" xfId="0" applyFont="1" applyFill="1" applyBorder="1" applyAlignment="1">
      <alignment vertical="center"/>
    </xf>
    <xf numFmtId="0" fontId="17" fillId="7" borderId="3" xfId="0" applyFont="1" applyFill="1" applyBorder="1" applyAlignment="1">
      <alignment vertical="center"/>
    </xf>
    <xf numFmtId="0" fontId="17" fillId="7" borderId="4" xfId="0" applyFont="1" applyFill="1" applyBorder="1" applyAlignment="1">
      <alignment vertical="center"/>
    </xf>
    <xf numFmtId="164" fontId="0" fillId="0" borderId="1" xfId="0" applyNumberFormat="1" applyFont="1" applyFill="1" applyBorder="1" applyAlignment="1">
      <alignment horizontal="center" vertical="center"/>
    </xf>
    <xf numFmtId="164" fontId="0" fillId="0" borderId="23"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xf>
    <xf numFmtId="1" fontId="1" fillId="2" borderId="24" xfId="0" applyNumberFormat="1" applyFont="1" applyFill="1" applyBorder="1" applyAlignment="1">
      <alignment horizontal="center" vertical="center"/>
    </xf>
    <xf numFmtId="1" fontId="1" fillId="2" borderId="25" xfId="0" applyNumberFormat="1" applyFont="1" applyFill="1" applyBorder="1" applyAlignment="1">
      <alignment horizontal="center" vertical="center"/>
    </xf>
    <xf numFmtId="1" fontId="1" fillId="2" borderId="19" xfId="0" applyNumberFormat="1" applyFont="1" applyFill="1" applyBorder="1" applyAlignment="1">
      <alignment horizontal="center" vertical="center"/>
    </xf>
    <xf numFmtId="1" fontId="1" fillId="2" borderId="20" xfId="0" applyNumberFormat="1" applyFont="1" applyFill="1" applyBorder="1" applyAlignment="1">
      <alignment horizontal="center" vertical="center"/>
    </xf>
    <xf numFmtId="2" fontId="0" fillId="3" borderId="23" xfId="0" applyNumberFormat="1" applyFill="1" applyBorder="1" applyAlignment="1">
      <alignment horizontal="center" vertical="center"/>
    </xf>
    <xf numFmtId="164" fontId="0" fillId="0" borderId="23" xfId="0" applyNumberFormat="1" applyBorder="1" applyAlignment="1">
      <alignment horizontal="center" vertical="center"/>
    </xf>
    <xf numFmtId="1" fontId="1" fillId="3" borderId="28" xfId="0" applyNumberFormat="1" applyFont="1" applyFill="1" applyBorder="1" applyAlignment="1">
      <alignment horizontal="center" vertical="center"/>
    </xf>
    <xf numFmtId="1" fontId="1" fillId="3" borderId="41" xfId="0" applyNumberFormat="1" applyFont="1" applyFill="1" applyBorder="1" applyAlignment="1">
      <alignment horizontal="center" vertical="center"/>
    </xf>
    <xf numFmtId="1" fontId="0" fillId="3" borderId="22" xfId="0" applyNumberFormat="1" applyFill="1" applyBorder="1" applyAlignment="1">
      <alignment horizontal="center" vertical="center"/>
    </xf>
    <xf numFmtId="1" fontId="0" fillId="3" borderId="1" xfId="0" applyNumberFormat="1" applyFill="1" applyBorder="1" applyAlignment="1">
      <alignment horizontal="center" vertical="center"/>
    </xf>
    <xf numFmtId="1" fontId="0" fillId="3" borderId="37" xfId="0" applyNumberFormat="1" applyFill="1" applyBorder="1" applyAlignment="1">
      <alignment horizontal="center" vertical="center"/>
    </xf>
    <xf numFmtId="1" fontId="0" fillId="3" borderId="23" xfId="0" applyNumberFormat="1" applyFill="1" applyBorder="1" applyAlignment="1">
      <alignment horizontal="center" vertical="center"/>
    </xf>
    <xf numFmtId="164" fontId="0" fillId="0" borderId="6" xfId="0" applyNumberFormat="1" applyFill="1" applyBorder="1" applyAlignment="1">
      <alignment horizontal="center" vertical="center"/>
    </xf>
    <xf numFmtId="2" fontId="1" fillId="0" borderId="8" xfId="0" applyNumberFormat="1" applyFont="1" applyFill="1" applyBorder="1" applyAlignment="1">
      <alignment horizontal="center" vertical="center"/>
    </xf>
    <xf numFmtId="164" fontId="0" fillId="0" borderId="9" xfId="0" applyNumberFormat="1" applyFill="1" applyBorder="1" applyAlignment="1">
      <alignment horizontal="center" vertical="center"/>
    </xf>
    <xf numFmtId="2" fontId="0" fillId="0" borderId="4" xfId="0" applyNumberFormat="1" applyBorder="1" applyAlignment="1">
      <alignment vertical="center"/>
    </xf>
    <xf numFmtId="0" fontId="8" fillId="0" borderId="5" xfId="0" applyFont="1" applyBorder="1" applyAlignment="1">
      <alignment vertical="center"/>
    </xf>
    <xf numFmtId="2" fontId="0" fillId="0" borderId="6" xfId="0" applyNumberFormat="1" applyBorder="1" applyAlignment="1">
      <alignment vertical="center"/>
    </xf>
    <xf numFmtId="0" fontId="8" fillId="0" borderId="7" xfId="0" applyFont="1" applyBorder="1" applyAlignment="1">
      <alignment vertical="center"/>
    </xf>
    <xf numFmtId="0" fontId="1" fillId="0" borderId="6" xfId="0" applyFont="1" applyBorder="1" applyAlignment="1">
      <alignment horizontal="center" vertical="center" wrapText="1"/>
    </xf>
    <xf numFmtId="1" fontId="1" fillId="0" borderId="0" xfId="0" applyNumberFormat="1" applyFont="1" applyFill="1" applyBorder="1" applyAlignment="1">
      <alignment horizontal="center" vertical="center"/>
    </xf>
    <xf numFmtId="1" fontId="1" fillId="0" borderId="8" xfId="0" applyNumberFormat="1" applyFont="1" applyFill="1" applyBorder="1" applyAlignment="1">
      <alignment horizontal="center" vertical="center"/>
    </xf>
    <xf numFmtId="1" fontId="1" fillId="2" borderId="21" xfId="0" applyNumberFormat="1" applyFont="1" applyFill="1" applyBorder="1" applyAlignment="1">
      <alignment horizontal="center" vertical="center"/>
    </xf>
    <xf numFmtId="1" fontId="1" fillId="2" borderId="23" xfId="0" applyNumberFormat="1" applyFont="1" applyFill="1" applyBorder="1" applyAlignment="1">
      <alignment horizontal="center" vertical="center"/>
    </xf>
    <xf numFmtId="1" fontId="1" fillId="2" borderId="26" xfId="0" applyNumberFormat="1" applyFont="1" applyFill="1" applyBorder="1" applyAlignment="1">
      <alignment horizontal="center" vertical="center"/>
    </xf>
    <xf numFmtId="0" fontId="19" fillId="0" borderId="5" xfId="0" applyFont="1" applyBorder="1" applyAlignment="1">
      <alignment vertical="center"/>
    </xf>
    <xf numFmtId="0" fontId="0" fillId="0" borderId="41" xfId="0" applyBorder="1" applyAlignment="1">
      <alignment vertical="center"/>
    </xf>
    <xf numFmtId="1" fontId="1" fillId="0" borderId="41" xfId="0" applyNumberFormat="1" applyFont="1" applyFill="1" applyBorder="1" applyAlignment="1">
      <alignment horizontal="center" vertical="center"/>
    </xf>
    <xf numFmtId="1" fontId="6" fillId="0" borderId="22" xfId="0" applyNumberFormat="1" applyFont="1" applyFill="1" applyBorder="1" applyAlignment="1">
      <alignment horizontal="center" vertical="center"/>
    </xf>
    <xf numFmtId="1" fontId="6" fillId="0" borderId="1" xfId="0" applyNumberFormat="1" applyFont="1" applyFill="1" applyBorder="1" applyAlignment="1">
      <alignment horizontal="center" vertical="center"/>
    </xf>
    <xf numFmtId="1" fontId="6" fillId="0" borderId="23" xfId="0" applyNumberFormat="1" applyFont="1" applyFill="1" applyBorder="1" applyAlignment="1">
      <alignment horizontal="center" vertical="center"/>
    </xf>
    <xf numFmtId="0" fontId="0" fillId="0" borderId="26" xfId="0" applyBorder="1" applyAlignment="1">
      <alignment vertical="center"/>
    </xf>
    <xf numFmtId="0" fontId="0" fillId="0" borderId="42" xfId="0" applyBorder="1" applyAlignment="1">
      <alignment vertical="center"/>
    </xf>
    <xf numFmtId="1" fontId="20" fillId="7" borderId="20" xfId="0" applyNumberFormat="1" applyFont="1" applyFill="1" applyBorder="1" applyAlignment="1">
      <alignment vertical="center"/>
    </xf>
    <xf numFmtId="0" fontId="20" fillId="7" borderId="40" xfId="0" applyFont="1" applyFill="1" applyBorder="1" applyAlignment="1">
      <alignment vertical="center"/>
    </xf>
    <xf numFmtId="0" fontId="21" fillId="0" borderId="0" xfId="0" applyFont="1" applyAlignment="1">
      <alignment vertical="center"/>
    </xf>
    <xf numFmtId="0" fontId="6" fillId="0" borderId="5" xfId="0" applyFont="1" applyBorder="1" applyAlignment="1">
      <alignment vertical="center" wrapText="1"/>
    </xf>
    <xf numFmtId="0" fontId="6" fillId="0" borderId="0" xfId="0" applyFont="1" applyAlignment="1">
      <alignment vertical="center" wrapText="1"/>
    </xf>
    <xf numFmtId="2" fontId="1" fillId="2" borderId="1" xfId="0" applyNumberFormat="1" applyFont="1" applyFill="1" applyBorder="1" applyAlignment="1">
      <alignment horizontal="center" vertical="center"/>
    </xf>
    <xf numFmtId="0" fontId="0" fillId="0" borderId="0" xfId="0" applyNumberFormat="1" applyAlignment="1">
      <alignment vertical="center"/>
    </xf>
    <xf numFmtId="20" fontId="0" fillId="0" borderId="0" xfId="0" applyNumberFormat="1" applyAlignment="1">
      <alignment vertical="center"/>
    </xf>
    <xf numFmtId="0" fontId="0" fillId="0" borderId="5" xfId="0" applyFont="1" applyBorder="1" applyAlignment="1">
      <alignment vertical="center"/>
    </xf>
    <xf numFmtId="0" fontId="0" fillId="0" borderId="0" xfId="0" applyFill="1" applyBorder="1" applyAlignment="1">
      <alignment horizontal="left" vertical="top" wrapText="1"/>
    </xf>
    <xf numFmtId="0" fontId="1" fillId="0" borderId="0" xfId="0" applyFont="1" applyFill="1" applyBorder="1" applyAlignment="1">
      <alignment vertical="center"/>
    </xf>
    <xf numFmtId="0" fontId="0" fillId="0" borderId="0" xfId="0" applyFont="1" applyBorder="1" applyAlignment="1">
      <alignment vertical="center"/>
    </xf>
    <xf numFmtId="0" fontId="18" fillId="0" borderId="0" xfId="1" applyFont="1" applyFill="1" applyBorder="1" applyAlignment="1" applyProtection="1">
      <alignment horizontal="center" vertical="center"/>
    </xf>
    <xf numFmtId="2" fontId="0" fillId="0" borderId="0" xfId="0" applyNumberFormat="1" applyAlignment="1">
      <alignment vertical="center"/>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3" xfId="1" applyFont="1" applyBorder="1" applyAlignment="1" applyProtection="1">
      <alignment vertical="center" wrapText="1"/>
    </xf>
    <xf numFmtId="0" fontId="23" fillId="0" borderId="0" xfId="1" applyFont="1" applyBorder="1" applyAlignment="1" applyProtection="1">
      <alignment vertical="center" wrapText="1"/>
    </xf>
    <xf numFmtId="1" fontId="6" fillId="3" borderId="22" xfId="0" applyNumberFormat="1" applyFont="1" applyFill="1" applyBorder="1" applyAlignment="1">
      <alignment horizontal="center" vertical="center"/>
    </xf>
    <xf numFmtId="1" fontId="6" fillId="3" borderId="1" xfId="0" applyNumberFormat="1" applyFont="1" applyFill="1" applyBorder="1" applyAlignment="1">
      <alignment horizontal="center" vertical="center"/>
    </xf>
    <xf numFmtId="1" fontId="6" fillId="3" borderId="23" xfId="0" applyNumberFormat="1" applyFont="1" applyFill="1" applyBorder="1" applyAlignment="1">
      <alignment horizontal="center" vertical="center"/>
    </xf>
    <xf numFmtId="1" fontId="1" fillId="0" borderId="28" xfId="0" applyNumberFormat="1" applyFont="1" applyFill="1" applyBorder="1" applyAlignment="1">
      <alignment horizontal="center" vertical="center"/>
    </xf>
    <xf numFmtId="0" fontId="0" fillId="0" borderId="0" xfId="0" applyAlignment="1">
      <alignment horizontal="right" vertical="center"/>
    </xf>
    <xf numFmtId="2" fontId="1" fillId="2" borderId="1" xfId="0" applyNumberFormat="1" applyFont="1" applyFill="1" applyBorder="1" applyAlignment="1">
      <alignment horizontal="center" vertical="center"/>
    </xf>
    <xf numFmtId="0" fontId="2" fillId="5" borderId="10" xfId="1" applyFill="1" applyBorder="1" applyAlignment="1" applyProtection="1">
      <alignment horizontal="center" vertical="center"/>
    </xf>
    <xf numFmtId="0" fontId="2" fillId="5" borderId="11" xfId="1" applyFill="1" applyBorder="1" applyAlignment="1" applyProtection="1">
      <alignment horizontal="center" vertical="center"/>
    </xf>
    <xf numFmtId="0" fontId="2" fillId="5" borderId="12" xfId="1" applyFill="1" applyBorder="1" applyAlignment="1" applyProtection="1">
      <alignment horizontal="center" vertical="center"/>
    </xf>
    <xf numFmtId="0" fontId="2" fillId="5" borderId="13" xfId="1" applyFill="1" applyBorder="1" applyAlignment="1" applyProtection="1">
      <alignment horizontal="center" vertical="center"/>
    </xf>
    <xf numFmtId="0" fontId="2" fillId="5" borderId="14" xfId="1" applyFill="1" applyBorder="1" applyAlignment="1" applyProtection="1">
      <alignment horizontal="center" vertical="center"/>
    </xf>
    <xf numFmtId="0" fontId="2" fillId="5" borderId="15" xfId="1" applyFill="1" applyBorder="1" applyAlignment="1" applyProtection="1">
      <alignment horizontal="center" vertical="center"/>
    </xf>
    <xf numFmtId="0" fontId="4" fillId="0" borderId="1" xfId="0" applyFont="1" applyBorder="1" applyAlignment="1">
      <alignment horizontal="center" vertical="center" wrapText="1"/>
    </xf>
    <xf numFmtId="0" fontId="6" fillId="0" borderId="2" xfId="0" applyFont="1" applyBorder="1" applyAlignment="1">
      <alignment horizontal="left" vertical="top" wrapText="1"/>
    </xf>
    <xf numFmtId="0" fontId="6" fillId="0" borderId="3" xfId="0" applyFont="1" applyBorder="1" applyAlignment="1">
      <alignment horizontal="left" vertical="top"/>
    </xf>
    <xf numFmtId="0" fontId="6" fillId="0" borderId="4" xfId="0" applyFont="1" applyBorder="1" applyAlignment="1">
      <alignment horizontal="left" vertical="top"/>
    </xf>
    <xf numFmtId="0" fontId="6" fillId="0" borderId="5" xfId="0" applyFont="1" applyBorder="1" applyAlignment="1">
      <alignment horizontal="left" vertical="top"/>
    </xf>
    <xf numFmtId="0" fontId="6" fillId="0" borderId="0" xfId="0" applyFont="1" applyBorder="1" applyAlignment="1">
      <alignment horizontal="left" vertical="top"/>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18" fillId="8" borderId="33" xfId="1" applyFont="1" applyFill="1" applyBorder="1" applyAlignment="1" applyProtection="1">
      <alignment horizontal="center" vertical="center"/>
    </xf>
    <xf numFmtId="0" fontId="18" fillId="8" borderId="35" xfId="1" applyFont="1" applyFill="1" applyBorder="1" applyAlignment="1" applyProtection="1">
      <alignment horizontal="center" vertical="center"/>
    </xf>
    <xf numFmtId="2" fontId="6" fillId="6" borderId="0" xfId="0" applyNumberFormat="1" applyFont="1" applyFill="1" applyBorder="1" applyAlignment="1">
      <alignment horizontal="center" vertical="center"/>
    </xf>
    <xf numFmtId="0" fontId="6" fillId="6" borderId="0"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0" fillId="6" borderId="0" xfId="0" applyFill="1" applyBorder="1" applyAlignment="1">
      <alignment horizontal="center" vertical="center"/>
    </xf>
    <xf numFmtId="0" fontId="8" fillId="6" borderId="2" xfId="0" applyFont="1" applyFill="1" applyBorder="1" applyAlignment="1">
      <alignment horizontal="left" vertical="center"/>
    </xf>
    <xf numFmtId="0" fontId="8" fillId="6" borderId="3" xfId="0" applyFont="1" applyFill="1" applyBorder="1" applyAlignment="1">
      <alignment horizontal="left" vertical="center"/>
    </xf>
    <xf numFmtId="0" fontId="8" fillId="6" borderId="4" xfId="0" applyFont="1" applyFill="1" applyBorder="1" applyAlignment="1">
      <alignment horizontal="left" vertical="center"/>
    </xf>
    <xf numFmtId="0" fontId="6" fillId="0" borderId="5" xfId="0" applyFont="1" applyBorder="1" applyAlignment="1">
      <alignment horizontal="left" vertical="top" wrapText="1"/>
    </xf>
    <xf numFmtId="0" fontId="6" fillId="0" borderId="0"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6" xfId="0" applyFont="1" applyBorder="1" applyAlignment="1">
      <alignment horizontal="left" vertical="top" wrapText="1"/>
    </xf>
    <xf numFmtId="0" fontId="6" fillId="0" borderId="9"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15" fillId="0" borderId="0" xfId="1" applyFont="1" applyAlignment="1" applyProtection="1">
      <alignment horizontal="left" vertical="center"/>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0"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0" fillId="2" borderId="5" xfId="0" applyFill="1" applyBorder="1" applyAlignment="1">
      <alignment horizontal="left" vertical="top" wrapText="1"/>
    </xf>
    <xf numFmtId="0" fontId="0" fillId="2" borderId="0" xfId="0" applyFill="1" applyBorder="1" applyAlignment="1">
      <alignment horizontal="left" vertical="top" wrapText="1"/>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horizontal="left" vertical="top" wrapText="1"/>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2" xfId="1" applyFont="1" applyBorder="1" applyAlignment="1" applyProtection="1">
      <alignment horizontal="center" vertical="center" wrapText="1"/>
    </xf>
    <xf numFmtId="0" fontId="23" fillId="0" borderId="3" xfId="1" applyFont="1" applyBorder="1" applyAlignment="1" applyProtection="1">
      <alignment horizontal="center" vertical="center" wrapText="1"/>
    </xf>
    <xf numFmtId="0" fontId="23" fillId="0" borderId="4" xfId="1" applyFont="1" applyBorder="1" applyAlignment="1" applyProtection="1">
      <alignment horizontal="center" vertical="center" wrapText="1"/>
    </xf>
    <xf numFmtId="0" fontId="23" fillId="0" borderId="5" xfId="1" applyFont="1" applyBorder="1" applyAlignment="1" applyProtection="1">
      <alignment horizontal="center" vertical="center" wrapText="1"/>
    </xf>
    <xf numFmtId="0" fontId="23" fillId="0" borderId="0" xfId="1" applyFont="1" applyBorder="1" applyAlignment="1" applyProtection="1">
      <alignment horizontal="center" vertical="center" wrapText="1"/>
    </xf>
    <xf numFmtId="0" fontId="23" fillId="0" borderId="6" xfId="1" applyFont="1" applyBorder="1" applyAlignment="1" applyProtection="1">
      <alignment horizontal="center" vertical="center" wrapText="1"/>
    </xf>
    <xf numFmtId="0" fontId="23" fillId="0" borderId="7" xfId="1" applyFont="1" applyBorder="1" applyAlignment="1" applyProtection="1">
      <alignment horizontal="center" vertical="center" wrapText="1"/>
    </xf>
    <xf numFmtId="0" fontId="23" fillId="0" borderId="8" xfId="1" applyFont="1" applyBorder="1" applyAlignment="1" applyProtection="1">
      <alignment horizontal="center" vertical="center" wrapText="1"/>
    </xf>
    <xf numFmtId="0" fontId="23" fillId="0" borderId="9" xfId="1" applyFont="1" applyBorder="1" applyAlignment="1" applyProtection="1">
      <alignment horizontal="center" vertical="center" wrapText="1"/>
    </xf>
  </cellXfs>
  <cellStyles count="2">
    <cellStyle name="Hyperlink" xfId="1" builtinId="8"/>
    <cellStyle name="Standard" xfId="0" builtinId="0"/>
  </cellStyles>
  <dxfs count="3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11"/>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Hilfsdaten!$J$23:$K$23</c:f>
              <c:numCache>
                <c:formatCode>0</c:formatCode>
                <c:ptCount val="2"/>
                <c:pt idx="0">
                  <c:v>15</c:v>
                </c:pt>
                <c:pt idx="1">
                  <c:v>26</c:v>
                </c:pt>
              </c:numCache>
            </c:numRef>
          </c:xVal>
          <c:yVal>
            <c:numRef>
              <c:f>Hilfsdaten!$B$23:$C$23</c:f>
              <c:numCache>
                <c:formatCode>0.0</c:formatCode>
                <c:ptCount val="2"/>
                <c:pt idx="0">
                  <c:v>4.936305732484076</c:v>
                </c:pt>
                <c:pt idx="1">
                  <c:v>6.032171581769437</c:v>
                </c:pt>
              </c:numCache>
            </c:numRef>
          </c:yVal>
          <c:extLst xmlns:c16r2="http://schemas.microsoft.com/office/drawing/2015/06/chart">
            <c:ext xmlns:c16="http://schemas.microsoft.com/office/drawing/2014/chart" uri="{C3380CC4-5D6E-409C-BE32-E72D297353CC}">
              <c16:uniqueId val="{00000000-7CB6-46C1-A1BE-AB69202BB9ED}"/>
            </c:ext>
          </c:extLst>
        </c:ser>
        <c:axId val="75898880"/>
        <c:axId val="75900416"/>
      </c:scatterChart>
      <c:valAx>
        <c:axId val="75898880"/>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900416"/>
        <c:crosses val="autoZero"/>
        <c:crossBetween val="midCat"/>
        <c:majorUnit val="10"/>
      </c:valAx>
      <c:valAx>
        <c:axId val="75900416"/>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506E-3"/>
              <c:y val="0.34012599983431441"/>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898880"/>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17"/>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Hilfsdaten!$J$24:$K$24</c:f>
              <c:numCache>
                <c:formatCode>0</c:formatCode>
                <c:ptCount val="2"/>
                <c:pt idx="0">
                  <c:v>15</c:v>
                </c:pt>
                <c:pt idx="1">
                  <c:v>26</c:v>
                </c:pt>
              </c:numCache>
            </c:numRef>
          </c:xVal>
          <c:yVal>
            <c:numRef>
              <c:f>Hilfsdaten!$B$24:$C$24</c:f>
              <c:numCache>
                <c:formatCode>0.0</c:formatCode>
                <c:ptCount val="2"/>
                <c:pt idx="0">
                  <c:v>5</c:v>
                </c:pt>
                <c:pt idx="1">
                  <c:v>6.3829787234042561</c:v>
                </c:pt>
              </c:numCache>
            </c:numRef>
          </c:yVal>
          <c:extLst xmlns:c16r2="http://schemas.microsoft.com/office/drawing/2015/06/chart">
            <c:ext xmlns:c16="http://schemas.microsoft.com/office/drawing/2014/chart" uri="{C3380CC4-5D6E-409C-BE32-E72D297353CC}">
              <c16:uniqueId val="{00000000-7CB6-46C1-A1BE-AB69202BB9ED}"/>
            </c:ext>
          </c:extLst>
        </c:ser>
        <c:axId val="75949568"/>
        <c:axId val="75951104"/>
      </c:scatterChart>
      <c:valAx>
        <c:axId val="75949568"/>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951104"/>
        <c:crosses val="autoZero"/>
        <c:crossBetween val="midCat"/>
        <c:majorUnit val="10"/>
      </c:valAx>
      <c:valAx>
        <c:axId val="75951104"/>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532E-3"/>
              <c:y val="0.34012599983431452"/>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949568"/>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21"/>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Hilfsdaten!$J$25:$K$25</c:f>
              <c:numCache>
                <c:formatCode>0</c:formatCode>
                <c:ptCount val="2"/>
                <c:pt idx="0">
                  <c:v>15</c:v>
                </c:pt>
                <c:pt idx="1">
                  <c:v>26</c:v>
                </c:pt>
              </c:numCache>
            </c:numRef>
          </c:xVal>
          <c:yVal>
            <c:numRef>
              <c:f>Hilfsdaten!$B$25:$C$25</c:f>
              <c:numCache>
                <c:formatCode>0.0</c:formatCode>
                <c:ptCount val="2"/>
                <c:pt idx="0">
                  <c:v>5.1159420289855078</c:v>
                </c:pt>
                <c:pt idx="1">
                  <c:v>6.1951219512195124</c:v>
                </c:pt>
              </c:numCache>
            </c:numRef>
          </c:yVal>
          <c:extLst xmlns:c16r2="http://schemas.microsoft.com/office/drawing/2015/06/chart">
            <c:ext xmlns:c16="http://schemas.microsoft.com/office/drawing/2014/chart" uri="{C3380CC4-5D6E-409C-BE32-E72D297353CC}">
              <c16:uniqueId val="{00000000-7CB6-46C1-A1BE-AB69202BB9ED}"/>
            </c:ext>
          </c:extLst>
        </c:ser>
        <c:axId val="75860992"/>
        <c:axId val="75936512"/>
      </c:scatterChart>
      <c:valAx>
        <c:axId val="75860992"/>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936512"/>
        <c:crosses val="autoZero"/>
        <c:crossBetween val="midCat"/>
        <c:majorUnit val="10"/>
      </c:valAx>
      <c:valAx>
        <c:axId val="75936512"/>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559E-3"/>
              <c:y val="0.34012599983431463"/>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860992"/>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de-DE"/>
  <c:chart>
    <c:plotArea>
      <c:layout>
        <c:manualLayout>
          <c:layoutTarget val="inner"/>
          <c:xMode val="edge"/>
          <c:yMode val="edge"/>
          <c:x val="7.4054810426984086E-2"/>
          <c:y val="7.9162350695467884E-2"/>
          <c:w val="0.91099445902595511"/>
          <c:h val="0.59748368352351677"/>
        </c:manualLayout>
      </c:layout>
      <c:lineChart>
        <c:grouping val="standard"/>
        <c:ser>
          <c:idx val="0"/>
          <c:order val="0"/>
          <c:spPr>
            <a:ln w="19050"/>
          </c:spPr>
          <c:marker>
            <c:symbol val="none"/>
          </c:marker>
          <c:cat>
            <c:numRef>
              <c:f>Hilfsdaten!$B$36:$B$323</c:f>
              <c:numCache>
                <c:formatCode>hh:mm</c:formatCode>
                <c:ptCount val="288"/>
                <c:pt idx="0">
                  <c:v>0</c:v>
                </c:pt>
                <c:pt idx="1">
                  <c:v>4.1666666666666664E-2</c:v>
                </c:pt>
                <c:pt idx="2">
                  <c:v>8.3333333333333329E-2</c:v>
                </c:pt>
                <c:pt idx="3">
                  <c:v>0.125</c:v>
                </c:pt>
                <c:pt idx="4">
                  <c:v>0.16666666666666666</c:v>
                </c:pt>
                <c:pt idx="5">
                  <c:v>0.20833333333333334</c:v>
                </c:pt>
                <c:pt idx="6">
                  <c:v>0.25</c:v>
                </c:pt>
                <c:pt idx="7">
                  <c:v>0.29166666666666669</c:v>
                </c:pt>
                <c:pt idx="8">
                  <c:v>0.33333333333333331</c:v>
                </c:pt>
                <c:pt idx="9">
                  <c:v>0.375</c:v>
                </c:pt>
                <c:pt idx="10">
                  <c:v>0.41666666666666669</c:v>
                </c:pt>
                <c:pt idx="11">
                  <c:v>0.45833333333333331</c:v>
                </c:pt>
                <c:pt idx="12">
                  <c:v>0.5</c:v>
                </c:pt>
                <c:pt idx="13">
                  <c:v>0.54166666666666663</c:v>
                </c:pt>
                <c:pt idx="14">
                  <c:v>0.58333333333333337</c:v>
                </c:pt>
                <c:pt idx="15">
                  <c:v>0.625</c:v>
                </c:pt>
                <c:pt idx="16">
                  <c:v>0.66666666666666663</c:v>
                </c:pt>
                <c:pt idx="17">
                  <c:v>0.70833333333333337</c:v>
                </c:pt>
                <c:pt idx="18">
                  <c:v>0.75</c:v>
                </c:pt>
                <c:pt idx="19">
                  <c:v>0.79166666666666663</c:v>
                </c:pt>
                <c:pt idx="20">
                  <c:v>0.83333333333333337</c:v>
                </c:pt>
                <c:pt idx="21">
                  <c:v>0.875</c:v>
                </c:pt>
                <c:pt idx="22">
                  <c:v>0.91666666666666663</c:v>
                </c:pt>
                <c:pt idx="23">
                  <c:v>0.95833333333333337</c:v>
                </c:pt>
                <c:pt idx="24">
                  <c:v>0</c:v>
                </c:pt>
                <c:pt idx="25">
                  <c:v>4.1666666666666664E-2</c:v>
                </c:pt>
                <c:pt idx="26">
                  <c:v>8.3333333333333329E-2</c:v>
                </c:pt>
                <c:pt idx="27">
                  <c:v>0.125</c:v>
                </c:pt>
                <c:pt idx="28">
                  <c:v>0.16666666666666666</c:v>
                </c:pt>
                <c:pt idx="29">
                  <c:v>0.20833333333333334</c:v>
                </c:pt>
                <c:pt idx="30">
                  <c:v>0.25</c:v>
                </c:pt>
                <c:pt idx="31">
                  <c:v>0.29166666666666669</c:v>
                </c:pt>
                <c:pt idx="32">
                  <c:v>0.33333333333333331</c:v>
                </c:pt>
                <c:pt idx="33">
                  <c:v>0.375</c:v>
                </c:pt>
                <c:pt idx="34">
                  <c:v>0.41666666666666669</c:v>
                </c:pt>
                <c:pt idx="35">
                  <c:v>0.45833333333333331</c:v>
                </c:pt>
                <c:pt idx="36">
                  <c:v>0.5</c:v>
                </c:pt>
                <c:pt idx="37">
                  <c:v>0.54166666666666663</c:v>
                </c:pt>
                <c:pt idx="38">
                  <c:v>0.58333333333333337</c:v>
                </c:pt>
                <c:pt idx="39">
                  <c:v>0.625</c:v>
                </c:pt>
                <c:pt idx="40">
                  <c:v>0.66666666666666663</c:v>
                </c:pt>
                <c:pt idx="41">
                  <c:v>0.70833333333333337</c:v>
                </c:pt>
                <c:pt idx="42">
                  <c:v>0.75</c:v>
                </c:pt>
                <c:pt idx="43">
                  <c:v>0.79166666666666663</c:v>
                </c:pt>
                <c:pt idx="44">
                  <c:v>0.83333333333333337</c:v>
                </c:pt>
                <c:pt idx="45">
                  <c:v>0.875</c:v>
                </c:pt>
                <c:pt idx="46">
                  <c:v>0.91666666666666663</c:v>
                </c:pt>
                <c:pt idx="47">
                  <c:v>0.95833333333333337</c:v>
                </c:pt>
                <c:pt idx="48">
                  <c:v>0</c:v>
                </c:pt>
                <c:pt idx="49">
                  <c:v>4.1666666666666664E-2</c:v>
                </c:pt>
                <c:pt idx="50">
                  <c:v>8.3333333333333329E-2</c:v>
                </c:pt>
                <c:pt idx="51">
                  <c:v>0.125</c:v>
                </c:pt>
                <c:pt idx="52">
                  <c:v>0.16666666666666666</c:v>
                </c:pt>
                <c:pt idx="53">
                  <c:v>0.20833333333333334</c:v>
                </c:pt>
                <c:pt idx="54">
                  <c:v>0.25</c:v>
                </c:pt>
                <c:pt idx="55">
                  <c:v>0.29166666666666669</c:v>
                </c:pt>
                <c:pt idx="56">
                  <c:v>0.33333333333333331</c:v>
                </c:pt>
                <c:pt idx="57">
                  <c:v>0.375</c:v>
                </c:pt>
                <c:pt idx="58">
                  <c:v>0.41666666666666669</c:v>
                </c:pt>
                <c:pt idx="59">
                  <c:v>0.45833333333333331</c:v>
                </c:pt>
                <c:pt idx="60">
                  <c:v>0.5</c:v>
                </c:pt>
                <c:pt idx="61">
                  <c:v>0.54166666666666663</c:v>
                </c:pt>
                <c:pt idx="62">
                  <c:v>0.58333333333333337</c:v>
                </c:pt>
                <c:pt idx="63">
                  <c:v>0.625</c:v>
                </c:pt>
                <c:pt idx="64">
                  <c:v>0.66666666666666663</c:v>
                </c:pt>
                <c:pt idx="65">
                  <c:v>0.70833333333333337</c:v>
                </c:pt>
                <c:pt idx="66">
                  <c:v>0.75</c:v>
                </c:pt>
                <c:pt idx="67">
                  <c:v>0.79166666666666663</c:v>
                </c:pt>
                <c:pt idx="68">
                  <c:v>0.83333333333333337</c:v>
                </c:pt>
                <c:pt idx="69">
                  <c:v>0.875</c:v>
                </c:pt>
                <c:pt idx="70">
                  <c:v>0.91666666666666663</c:v>
                </c:pt>
                <c:pt idx="71">
                  <c:v>0.95833333333333337</c:v>
                </c:pt>
                <c:pt idx="72">
                  <c:v>0</c:v>
                </c:pt>
                <c:pt idx="73">
                  <c:v>4.1666666666666664E-2</c:v>
                </c:pt>
                <c:pt idx="74">
                  <c:v>8.3333333333333329E-2</c:v>
                </c:pt>
                <c:pt idx="75">
                  <c:v>0.125</c:v>
                </c:pt>
                <c:pt idx="76">
                  <c:v>0.16666666666666666</c:v>
                </c:pt>
                <c:pt idx="77">
                  <c:v>0.20833333333333334</c:v>
                </c:pt>
                <c:pt idx="78">
                  <c:v>0.25</c:v>
                </c:pt>
                <c:pt idx="79">
                  <c:v>0.29166666666666669</c:v>
                </c:pt>
                <c:pt idx="80">
                  <c:v>0.33333333333333331</c:v>
                </c:pt>
                <c:pt idx="81">
                  <c:v>0.375</c:v>
                </c:pt>
                <c:pt idx="82">
                  <c:v>0.41666666666666669</c:v>
                </c:pt>
                <c:pt idx="83">
                  <c:v>0.45833333333333331</c:v>
                </c:pt>
                <c:pt idx="84">
                  <c:v>0.5</c:v>
                </c:pt>
                <c:pt idx="85">
                  <c:v>0.54166666666666663</c:v>
                </c:pt>
                <c:pt idx="86">
                  <c:v>0.58333333333333337</c:v>
                </c:pt>
                <c:pt idx="87">
                  <c:v>0.625</c:v>
                </c:pt>
                <c:pt idx="88">
                  <c:v>0.66666666666666663</c:v>
                </c:pt>
                <c:pt idx="89">
                  <c:v>0.70833333333333337</c:v>
                </c:pt>
                <c:pt idx="90">
                  <c:v>0.75</c:v>
                </c:pt>
                <c:pt idx="91">
                  <c:v>0.79166666666666663</c:v>
                </c:pt>
                <c:pt idx="92">
                  <c:v>0.83333333333333337</c:v>
                </c:pt>
                <c:pt idx="93">
                  <c:v>0.875</c:v>
                </c:pt>
                <c:pt idx="94">
                  <c:v>0.91666666666666663</c:v>
                </c:pt>
                <c:pt idx="95">
                  <c:v>0.95833333333333337</c:v>
                </c:pt>
                <c:pt idx="96">
                  <c:v>0</c:v>
                </c:pt>
                <c:pt idx="97">
                  <c:v>4.1666666666666664E-2</c:v>
                </c:pt>
                <c:pt idx="98">
                  <c:v>8.3333333333333329E-2</c:v>
                </c:pt>
                <c:pt idx="99">
                  <c:v>0.125</c:v>
                </c:pt>
                <c:pt idx="100">
                  <c:v>0.16666666666666666</c:v>
                </c:pt>
                <c:pt idx="101">
                  <c:v>0.20833333333333334</c:v>
                </c:pt>
                <c:pt idx="102">
                  <c:v>0.25</c:v>
                </c:pt>
                <c:pt idx="103">
                  <c:v>0.29166666666666669</c:v>
                </c:pt>
                <c:pt idx="104">
                  <c:v>0.33333333333333331</c:v>
                </c:pt>
                <c:pt idx="105">
                  <c:v>0.375</c:v>
                </c:pt>
                <c:pt idx="106">
                  <c:v>0.41666666666666669</c:v>
                </c:pt>
                <c:pt idx="107">
                  <c:v>0.45833333333333331</c:v>
                </c:pt>
                <c:pt idx="108">
                  <c:v>0.5</c:v>
                </c:pt>
                <c:pt idx="109">
                  <c:v>0.54166666666666663</c:v>
                </c:pt>
                <c:pt idx="110">
                  <c:v>0.58333333333333337</c:v>
                </c:pt>
                <c:pt idx="111">
                  <c:v>0.625</c:v>
                </c:pt>
                <c:pt idx="112">
                  <c:v>0.66666666666666663</c:v>
                </c:pt>
                <c:pt idx="113">
                  <c:v>0.70833333333333337</c:v>
                </c:pt>
                <c:pt idx="114">
                  <c:v>0.75</c:v>
                </c:pt>
                <c:pt idx="115">
                  <c:v>0.79166666666666663</c:v>
                </c:pt>
                <c:pt idx="116">
                  <c:v>0.83333333333333337</c:v>
                </c:pt>
                <c:pt idx="117">
                  <c:v>0.875</c:v>
                </c:pt>
                <c:pt idx="118">
                  <c:v>0.91666666666666663</c:v>
                </c:pt>
                <c:pt idx="119">
                  <c:v>0.95833333333333337</c:v>
                </c:pt>
                <c:pt idx="120">
                  <c:v>0</c:v>
                </c:pt>
                <c:pt idx="121">
                  <c:v>4.1666666666666664E-2</c:v>
                </c:pt>
                <c:pt idx="122">
                  <c:v>8.3333333333333329E-2</c:v>
                </c:pt>
                <c:pt idx="123">
                  <c:v>0.125</c:v>
                </c:pt>
                <c:pt idx="124">
                  <c:v>0.16666666666666666</c:v>
                </c:pt>
                <c:pt idx="125">
                  <c:v>0.20833333333333334</c:v>
                </c:pt>
                <c:pt idx="126">
                  <c:v>0.25</c:v>
                </c:pt>
                <c:pt idx="127">
                  <c:v>0.29166666666666669</c:v>
                </c:pt>
                <c:pt idx="128">
                  <c:v>0.33333333333333331</c:v>
                </c:pt>
                <c:pt idx="129">
                  <c:v>0.375</c:v>
                </c:pt>
                <c:pt idx="130">
                  <c:v>0.41666666666666669</c:v>
                </c:pt>
                <c:pt idx="131">
                  <c:v>0.45833333333333331</c:v>
                </c:pt>
                <c:pt idx="132">
                  <c:v>0.5</c:v>
                </c:pt>
                <c:pt idx="133">
                  <c:v>0.54166666666666663</c:v>
                </c:pt>
                <c:pt idx="134">
                  <c:v>0.58333333333333337</c:v>
                </c:pt>
                <c:pt idx="135">
                  <c:v>0.625</c:v>
                </c:pt>
                <c:pt idx="136">
                  <c:v>0.66666666666666663</c:v>
                </c:pt>
                <c:pt idx="137">
                  <c:v>0.70833333333333337</c:v>
                </c:pt>
                <c:pt idx="138">
                  <c:v>0.75</c:v>
                </c:pt>
                <c:pt idx="139">
                  <c:v>0.79166666666666663</c:v>
                </c:pt>
                <c:pt idx="140">
                  <c:v>0.83333333333333337</c:v>
                </c:pt>
                <c:pt idx="141">
                  <c:v>0.875</c:v>
                </c:pt>
                <c:pt idx="142">
                  <c:v>0.91666666666666663</c:v>
                </c:pt>
                <c:pt idx="143">
                  <c:v>0.95833333333333337</c:v>
                </c:pt>
                <c:pt idx="144">
                  <c:v>0</c:v>
                </c:pt>
                <c:pt idx="145">
                  <c:v>4.1666666666666664E-2</c:v>
                </c:pt>
                <c:pt idx="146">
                  <c:v>8.3333333333333329E-2</c:v>
                </c:pt>
                <c:pt idx="147">
                  <c:v>0.125</c:v>
                </c:pt>
                <c:pt idx="148">
                  <c:v>0.16666666666666666</c:v>
                </c:pt>
                <c:pt idx="149">
                  <c:v>0.20833333333333334</c:v>
                </c:pt>
                <c:pt idx="150">
                  <c:v>0.25</c:v>
                </c:pt>
                <c:pt idx="151">
                  <c:v>0.29166666666666669</c:v>
                </c:pt>
                <c:pt idx="152">
                  <c:v>0.33333333333333331</c:v>
                </c:pt>
                <c:pt idx="153">
                  <c:v>0.375</c:v>
                </c:pt>
                <c:pt idx="154">
                  <c:v>0.41666666666666669</c:v>
                </c:pt>
                <c:pt idx="155">
                  <c:v>0.45833333333333331</c:v>
                </c:pt>
                <c:pt idx="156">
                  <c:v>0.5</c:v>
                </c:pt>
                <c:pt idx="157">
                  <c:v>0.54166666666666663</c:v>
                </c:pt>
                <c:pt idx="158">
                  <c:v>0.58333333333333337</c:v>
                </c:pt>
                <c:pt idx="159">
                  <c:v>0.625</c:v>
                </c:pt>
                <c:pt idx="160">
                  <c:v>0.66666666666666663</c:v>
                </c:pt>
                <c:pt idx="161">
                  <c:v>0.70833333333333337</c:v>
                </c:pt>
                <c:pt idx="162">
                  <c:v>0.75</c:v>
                </c:pt>
                <c:pt idx="163">
                  <c:v>0.79166666666666663</c:v>
                </c:pt>
                <c:pt idx="164">
                  <c:v>0.83333333333333337</c:v>
                </c:pt>
                <c:pt idx="165">
                  <c:v>0.875</c:v>
                </c:pt>
                <c:pt idx="166">
                  <c:v>0.91666666666666663</c:v>
                </c:pt>
                <c:pt idx="167">
                  <c:v>0.95833333333333337</c:v>
                </c:pt>
                <c:pt idx="168">
                  <c:v>0</c:v>
                </c:pt>
                <c:pt idx="169">
                  <c:v>4.1666666666666664E-2</c:v>
                </c:pt>
                <c:pt idx="170">
                  <c:v>8.3333333333333329E-2</c:v>
                </c:pt>
                <c:pt idx="171">
                  <c:v>0.125</c:v>
                </c:pt>
                <c:pt idx="172">
                  <c:v>0.16666666666666666</c:v>
                </c:pt>
                <c:pt idx="173">
                  <c:v>0.20833333333333334</c:v>
                </c:pt>
                <c:pt idx="174">
                  <c:v>0.25</c:v>
                </c:pt>
                <c:pt idx="175">
                  <c:v>0.29166666666666669</c:v>
                </c:pt>
                <c:pt idx="176">
                  <c:v>0.33333333333333331</c:v>
                </c:pt>
                <c:pt idx="177">
                  <c:v>0.375</c:v>
                </c:pt>
                <c:pt idx="178">
                  <c:v>0.41666666666666669</c:v>
                </c:pt>
                <c:pt idx="179">
                  <c:v>0.45833333333333331</c:v>
                </c:pt>
                <c:pt idx="180">
                  <c:v>0.5</c:v>
                </c:pt>
                <c:pt idx="181">
                  <c:v>0.54166666666666663</c:v>
                </c:pt>
                <c:pt idx="182">
                  <c:v>0.58333333333333337</c:v>
                </c:pt>
                <c:pt idx="183">
                  <c:v>0.625</c:v>
                </c:pt>
                <c:pt idx="184">
                  <c:v>0.66666666666666663</c:v>
                </c:pt>
                <c:pt idx="185">
                  <c:v>0.70833333333333337</c:v>
                </c:pt>
                <c:pt idx="186">
                  <c:v>0.75</c:v>
                </c:pt>
                <c:pt idx="187">
                  <c:v>0.79166666666666663</c:v>
                </c:pt>
                <c:pt idx="188">
                  <c:v>0.83333333333333337</c:v>
                </c:pt>
                <c:pt idx="189">
                  <c:v>0.875</c:v>
                </c:pt>
                <c:pt idx="190">
                  <c:v>0.91666666666666663</c:v>
                </c:pt>
                <c:pt idx="191">
                  <c:v>0.95833333333333337</c:v>
                </c:pt>
                <c:pt idx="192">
                  <c:v>0</c:v>
                </c:pt>
                <c:pt idx="193">
                  <c:v>4.1666666666666664E-2</c:v>
                </c:pt>
                <c:pt idx="194">
                  <c:v>8.3333333333333329E-2</c:v>
                </c:pt>
                <c:pt idx="195">
                  <c:v>0.125</c:v>
                </c:pt>
                <c:pt idx="196">
                  <c:v>0.16666666666666666</c:v>
                </c:pt>
                <c:pt idx="197">
                  <c:v>0.20833333333333334</c:v>
                </c:pt>
                <c:pt idx="198">
                  <c:v>0.25</c:v>
                </c:pt>
                <c:pt idx="199">
                  <c:v>0.29166666666666669</c:v>
                </c:pt>
                <c:pt idx="200">
                  <c:v>0.33333333333333331</c:v>
                </c:pt>
                <c:pt idx="201">
                  <c:v>0.375</c:v>
                </c:pt>
                <c:pt idx="202">
                  <c:v>0.41666666666666669</c:v>
                </c:pt>
                <c:pt idx="203">
                  <c:v>0.45833333333333331</c:v>
                </c:pt>
                <c:pt idx="204">
                  <c:v>0.5</c:v>
                </c:pt>
                <c:pt idx="205">
                  <c:v>0.54166666666666663</c:v>
                </c:pt>
                <c:pt idx="206">
                  <c:v>0.58333333333333337</c:v>
                </c:pt>
                <c:pt idx="207">
                  <c:v>0.625</c:v>
                </c:pt>
                <c:pt idx="208">
                  <c:v>0.66666666666666663</c:v>
                </c:pt>
                <c:pt idx="209">
                  <c:v>0.70833333333333337</c:v>
                </c:pt>
                <c:pt idx="210">
                  <c:v>0.75</c:v>
                </c:pt>
                <c:pt idx="211">
                  <c:v>0.79166666666666663</c:v>
                </c:pt>
                <c:pt idx="212">
                  <c:v>0.83333333333333337</c:v>
                </c:pt>
                <c:pt idx="213">
                  <c:v>0.875</c:v>
                </c:pt>
                <c:pt idx="214">
                  <c:v>0.91666666666666663</c:v>
                </c:pt>
                <c:pt idx="215">
                  <c:v>0.95833333333333337</c:v>
                </c:pt>
                <c:pt idx="216">
                  <c:v>0</c:v>
                </c:pt>
                <c:pt idx="217">
                  <c:v>4.1666666666666664E-2</c:v>
                </c:pt>
                <c:pt idx="218">
                  <c:v>8.3333333333333329E-2</c:v>
                </c:pt>
                <c:pt idx="219">
                  <c:v>0.125</c:v>
                </c:pt>
                <c:pt idx="220">
                  <c:v>0.16666666666666666</c:v>
                </c:pt>
                <c:pt idx="221">
                  <c:v>0.20833333333333334</c:v>
                </c:pt>
                <c:pt idx="222">
                  <c:v>0.25</c:v>
                </c:pt>
                <c:pt idx="223">
                  <c:v>0.29166666666666669</c:v>
                </c:pt>
                <c:pt idx="224">
                  <c:v>0.33333333333333331</c:v>
                </c:pt>
                <c:pt idx="225">
                  <c:v>0.375</c:v>
                </c:pt>
                <c:pt idx="226">
                  <c:v>0.41666666666666669</c:v>
                </c:pt>
                <c:pt idx="227">
                  <c:v>0.45833333333333331</c:v>
                </c:pt>
                <c:pt idx="228">
                  <c:v>0.5</c:v>
                </c:pt>
                <c:pt idx="229">
                  <c:v>0.54166666666666663</c:v>
                </c:pt>
                <c:pt idx="230">
                  <c:v>0.58333333333333337</c:v>
                </c:pt>
                <c:pt idx="231">
                  <c:v>0.625</c:v>
                </c:pt>
                <c:pt idx="232">
                  <c:v>0.66666666666666663</c:v>
                </c:pt>
                <c:pt idx="233">
                  <c:v>0.70833333333333337</c:v>
                </c:pt>
                <c:pt idx="234">
                  <c:v>0.75</c:v>
                </c:pt>
                <c:pt idx="235">
                  <c:v>0.79166666666666663</c:v>
                </c:pt>
                <c:pt idx="236">
                  <c:v>0.83333333333333337</c:v>
                </c:pt>
                <c:pt idx="237">
                  <c:v>0.875</c:v>
                </c:pt>
                <c:pt idx="238">
                  <c:v>0.91666666666666663</c:v>
                </c:pt>
                <c:pt idx="239">
                  <c:v>0.95833333333333337</c:v>
                </c:pt>
                <c:pt idx="240">
                  <c:v>0</c:v>
                </c:pt>
                <c:pt idx="241">
                  <c:v>4.1666666666666664E-2</c:v>
                </c:pt>
                <c:pt idx="242">
                  <c:v>8.3333333333333329E-2</c:v>
                </c:pt>
                <c:pt idx="243">
                  <c:v>0.125</c:v>
                </c:pt>
                <c:pt idx="244">
                  <c:v>0.16666666666666666</c:v>
                </c:pt>
                <c:pt idx="245">
                  <c:v>0.20833333333333334</c:v>
                </c:pt>
                <c:pt idx="246">
                  <c:v>0.25</c:v>
                </c:pt>
                <c:pt idx="247">
                  <c:v>0.29166666666666669</c:v>
                </c:pt>
                <c:pt idx="248">
                  <c:v>0.33333333333333331</c:v>
                </c:pt>
                <c:pt idx="249">
                  <c:v>0.375</c:v>
                </c:pt>
                <c:pt idx="250">
                  <c:v>0.41666666666666669</c:v>
                </c:pt>
                <c:pt idx="251">
                  <c:v>0.45833333333333331</c:v>
                </c:pt>
                <c:pt idx="252">
                  <c:v>0.5</c:v>
                </c:pt>
                <c:pt idx="253">
                  <c:v>0.54166666666666663</c:v>
                </c:pt>
                <c:pt idx="254">
                  <c:v>0.58333333333333337</c:v>
                </c:pt>
                <c:pt idx="255">
                  <c:v>0.625</c:v>
                </c:pt>
                <c:pt idx="256">
                  <c:v>0.66666666666666663</c:v>
                </c:pt>
                <c:pt idx="257">
                  <c:v>0.70833333333333337</c:v>
                </c:pt>
                <c:pt idx="258">
                  <c:v>0.75</c:v>
                </c:pt>
                <c:pt idx="259">
                  <c:v>0.79166666666666663</c:v>
                </c:pt>
                <c:pt idx="260">
                  <c:v>0.83333333333333337</c:v>
                </c:pt>
                <c:pt idx="261">
                  <c:v>0.875</c:v>
                </c:pt>
                <c:pt idx="262">
                  <c:v>0.91666666666666663</c:v>
                </c:pt>
                <c:pt idx="263">
                  <c:v>0.95833333333333337</c:v>
                </c:pt>
                <c:pt idx="264">
                  <c:v>0</c:v>
                </c:pt>
                <c:pt idx="265">
                  <c:v>4.1666666666666664E-2</c:v>
                </c:pt>
                <c:pt idx="266">
                  <c:v>8.3333333333333329E-2</c:v>
                </c:pt>
                <c:pt idx="267">
                  <c:v>0.125</c:v>
                </c:pt>
                <c:pt idx="268">
                  <c:v>0.16666666666666666</c:v>
                </c:pt>
                <c:pt idx="269">
                  <c:v>0.20833333333333334</c:v>
                </c:pt>
                <c:pt idx="270">
                  <c:v>0.25</c:v>
                </c:pt>
                <c:pt idx="271">
                  <c:v>0.29166666666666669</c:v>
                </c:pt>
                <c:pt idx="272">
                  <c:v>0.33333333333333331</c:v>
                </c:pt>
                <c:pt idx="273">
                  <c:v>0.375</c:v>
                </c:pt>
                <c:pt idx="274">
                  <c:v>0.41666666666666669</c:v>
                </c:pt>
                <c:pt idx="275">
                  <c:v>0.45833333333333331</c:v>
                </c:pt>
                <c:pt idx="276">
                  <c:v>0.5</c:v>
                </c:pt>
                <c:pt idx="277">
                  <c:v>0.54166666666666663</c:v>
                </c:pt>
                <c:pt idx="278">
                  <c:v>0.58333333333333337</c:v>
                </c:pt>
                <c:pt idx="279">
                  <c:v>0.625</c:v>
                </c:pt>
                <c:pt idx="280">
                  <c:v>0.66666666666666663</c:v>
                </c:pt>
                <c:pt idx="281">
                  <c:v>0.70833333333333337</c:v>
                </c:pt>
                <c:pt idx="282">
                  <c:v>0.75</c:v>
                </c:pt>
                <c:pt idx="283">
                  <c:v>0.79166666666666663</c:v>
                </c:pt>
                <c:pt idx="284">
                  <c:v>0.83333333333333337</c:v>
                </c:pt>
                <c:pt idx="285">
                  <c:v>0.875</c:v>
                </c:pt>
                <c:pt idx="286">
                  <c:v>0.91666666666666663</c:v>
                </c:pt>
                <c:pt idx="287">
                  <c:v>0.95833333333333337</c:v>
                </c:pt>
              </c:numCache>
            </c:numRef>
          </c:cat>
          <c:val>
            <c:numRef>
              <c:f>Hilfsdaten!$C$36:$C$323</c:f>
              <c:numCache>
                <c:formatCode>General</c:formatCode>
                <c:ptCount val="288"/>
                <c:pt idx="0">
                  <c:v>0</c:v>
                </c:pt>
                <c:pt idx="1">
                  <c:v>0</c:v>
                </c:pt>
                <c:pt idx="2">
                  <c:v>0</c:v>
                </c:pt>
                <c:pt idx="3">
                  <c:v>0</c:v>
                </c:pt>
                <c:pt idx="4">
                  <c:v>0</c:v>
                </c:pt>
                <c:pt idx="5">
                  <c:v>0</c:v>
                </c:pt>
                <c:pt idx="6">
                  <c:v>0</c:v>
                </c:pt>
                <c:pt idx="7">
                  <c:v>0</c:v>
                </c:pt>
                <c:pt idx="8">
                  <c:v>0</c:v>
                </c:pt>
                <c:pt idx="9">
                  <c:v>42.38</c:v>
                </c:pt>
                <c:pt idx="10">
                  <c:v>92.99</c:v>
                </c:pt>
                <c:pt idx="11">
                  <c:v>114.8</c:v>
                </c:pt>
                <c:pt idx="12">
                  <c:v>130.63999999999999</c:v>
                </c:pt>
                <c:pt idx="13">
                  <c:v>114.78</c:v>
                </c:pt>
                <c:pt idx="14">
                  <c:v>91.07</c:v>
                </c:pt>
                <c:pt idx="15">
                  <c:v>46.94</c:v>
                </c:pt>
                <c:pt idx="16">
                  <c:v>1.55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39.020000000000003</c:v>
                </c:pt>
                <c:pt idx="33">
                  <c:v>116.28</c:v>
                </c:pt>
                <c:pt idx="34">
                  <c:v>172.94</c:v>
                </c:pt>
                <c:pt idx="35">
                  <c:v>196.4</c:v>
                </c:pt>
                <c:pt idx="36">
                  <c:v>215.24</c:v>
                </c:pt>
                <c:pt idx="37">
                  <c:v>185.85</c:v>
                </c:pt>
                <c:pt idx="38">
                  <c:v>163.27000000000001</c:v>
                </c:pt>
                <c:pt idx="39">
                  <c:v>115.54</c:v>
                </c:pt>
                <c:pt idx="40">
                  <c:v>59.07</c:v>
                </c:pt>
                <c:pt idx="41">
                  <c:v>2.04</c:v>
                </c:pt>
                <c:pt idx="42">
                  <c:v>0</c:v>
                </c:pt>
                <c:pt idx="43">
                  <c:v>0</c:v>
                </c:pt>
                <c:pt idx="44">
                  <c:v>0</c:v>
                </c:pt>
                <c:pt idx="45">
                  <c:v>0</c:v>
                </c:pt>
                <c:pt idx="46">
                  <c:v>0</c:v>
                </c:pt>
                <c:pt idx="47">
                  <c:v>0</c:v>
                </c:pt>
                <c:pt idx="48">
                  <c:v>0</c:v>
                </c:pt>
                <c:pt idx="49">
                  <c:v>0</c:v>
                </c:pt>
                <c:pt idx="50">
                  <c:v>0</c:v>
                </c:pt>
                <c:pt idx="51">
                  <c:v>0</c:v>
                </c:pt>
                <c:pt idx="52">
                  <c:v>0</c:v>
                </c:pt>
                <c:pt idx="53">
                  <c:v>0</c:v>
                </c:pt>
                <c:pt idx="54">
                  <c:v>0.3</c:v>
                </c:pt>
                <c:pt idx="55">
                  <c:v>44.6</c:v>
                </c:pt>
                <c:pt idx="56">
                  <c:v>137.15</c:v>
                </c:pt>
                <c:pt idx="57">
                  <c:v>223.17</c:v>
                </c:pt>
                <c:pt idx="58">
                  <c:v>295.22000000000003</c:v>
                </c:pt>
                <c:pt idx="59">
                  <c:v>339.27</c:v>
                </c:pt>
                <c:pt idx="60">
                  <c:v>356.28</c:v>
                </c:pt>
                <c:pt idx="61">
                  <c:v>312.69</c:v>
                </c:pt>
                <c:pt idx="62">
                  <c:v>290.43</c:v>
                </c:pt>
                <c:pt idx="63">
                  <c:v>233.46</c:v>
                </c:pt>
                <c:pt idx="64">
                  <c:v>158.63999999999999</c:v>
                </c:pt>
                <c:pt idx="65">
                  <c:v>70.92</c:v>
                </c:pt>
                <c:pt idx="66">
                  <c:v>1.46</c:v>
                </c:pt>
                <c:pt idx="67">
                  <c:v>0</c:v>
                </c:pt>
                <c:pt idx="68">
                  <c:v>0</c:v>
                </c:pt>
                <c:pt idx="69">
                  <c:v>0</c:v>
                </c:pt>
                <c:pt idx="70">
                  <c:v>0</c:v>
                </c:pt>
                <c:pt idx="71">
                  <c:v>0</c:v>
                </c:pt>
                <c:pt idx="72">
                  <c:v>0</c:v>
                </c:pt>
                <c:pt idx="73">
                  <c:v>0</c:v>
                </c:pt>
                <c:pt idx="74">
                  <c:v>0</c:v>
                </c:pt>
                <c:pt idx="75">
                  <c:v>0</c:v>
                </c:pt>
                <c:pt idx="76">
                  <c:v>0</c:v>
                </c:pt>
                <c:pt idx="77">
                  <c:v>0.7</c:v>
                </c:pt>
                <c:pt idx="78">
                  <c:v>59.45</c:v>
                </c:pt>
                <c:pt idx="79">
                  <c:v>169.88</c:v>
                </c:pt>
                <c:pt idx="80">
                  <c:v>298.10000000000002</c:v>
                </c:pt>
                <c:pt idx="81">
                  <c:v>418.21</c:v>
                </c:pt>
                <c:pt idx="82">
                  <c:v>496.13</c:v>
                </c:pt>
                <c:pt idx="83">
                  <c:v>517.39</c:v>
                </c:pt>
                <c:pt idx="84">
                  <c:v>511.04</c:v>
                </c:pt>
                <c:pt idx="85">
                  <c:v>489.69</c:v>
                </c:pt>
                <c:pt idx="86">
                  <c:v>433.87</c:v>
                </c:pt>
                <c:pt idx="87">
                  <c:v>368.97</c:v>
                </c:pt>
                <c:pt idx="88">
                  <c:v>269.37</c:v>
                </c:pt>
                <c:pt idx="89">
                  <c:v>170.45</c:v>
                </c:pt>
                <c:pt idx="90">
                  <c:v>60.87</c:v>
                </c:pt>
                <c:pt idx="91">
                  <c:v>7.0000000000000007E-2</c:v>
                </c:pt>
                <c:pt idx="92">
                  <c:v>0</c:v>
                </c:pt>
                <c:pt idx="93">
                  <c:v>0</c:v>
                </c:pt>
                <c:pt idx="94">
                  <c:v>0</c:v>
                </c:pt>
                <c:pt idx="95">
                  <c:v>0</c:v>
                </c:pt>
                <c:pt idx="96">
                  <c:v>0</c:v>
                </c:pt>
                <c:pt idx="97">
                  <c:v>0</c:v>
                </c:pt>
                <c:pt idx="98">
                  <c:v>0</c:v>
                </c:pt>
                <c:pt idx="99">
                  <c:v>0</c:v>
                </c:pt>
                <c:pt idx="100">
                  <c:v>0</c:v>
                </c:pt>
                <c:pt idx="101">
                  <c:v>36.53</c:v>
                </c:pt>
                <c:pt idx="102">
                  <c:v>127.53</c:v>
                </c:pt>
                <c:pt idx="103">
                  <c:v>246.1</c:v>
                </c:pt>
                <c:pt idx="104">
                  <c:v>369.01</c:v>
                </c:pt>
                <c:pt idx="105">
                  <c:v>472.56</c:v>
                </c:pt>
                <c:pt idx="106">
                  <c:v>540.42999999999995</c:v>
                </c:pt>
                <c:pt idx="107">
                  <c:v>557.29999999999995</c:v>
                </c:pt>
                <c:pt idx="108">
                  <c:v>557.9</c:v>
                </c:pt>
                <c:pt idx="109">
                  <c:v>530.01</c:v>
                </c:pt>
                <c:pt idx="110">
                  <c:v>470.72</c:v>
                </c:pt>
                <c:pt idx="111">
                  <c:v>402.45</c:v>
                </c:pt>
                <c:pt idx="112">
                  <c:v>324.69</c:v>
                </c:pt>
                <c:pt idx="113">
                  <c:v>221.43</c:v>
                </c:pt>
                <c:pt idx="114">
                  <c:v>123.18</c:v>
                </c:pt>
                <c:pt idx="115">
                  <c:v>28.57</c:v>
                </c:pt>
                <c:pt idx="116">
                  <c:v>0</c:v>
                </c:pt>
                <c:pt idx="117">
                  <c:v>0</c:v>
                </c:pt>
                <c:pt idx="118">
                  <c:v>0</c:v>
                </c:pt>
                <c:pt idx="119">
                  <c:v>0</c:v>
                </c:pt>
                <c:pt idx="120">
                  <c:v>0</c:v>
                </c:pt>
                <c:pt idx="121">
                  <c:v>0</c:v>
                </c:pt>
                <c:pt idx="122">
                  <c:v>0</c:v>
                </c:pt>
                <c:pt idx="123">
                  <c:v>0</c:v>
                </c:pt>
                <c:pt idx="124">
                  <c:v>1.57</c:v>
                </c:pt>
                <c:pt idx="125">
                  <c:v>58.39</c:v>
                </c:pt>
                <c:pt idx="126">
                  <c:v>151.34</c:v>
                </c:pt>
                <c:pt idx="127">
                  <c:v>281.17</c:v>
                </c:pt>
                <c:pt idx="128">
                  <c:v>408.17</c:v>
                </c:pt>
                <c:pt idx="129">
                  <c:v>510.14</c:v>
                </c:pt>
                <c:pt idx="130">
                  <c:v>566.94000000000005</c:v>
                </c:pt>
                <c:pt idx="131">
                  <c:v>595.70000000000005</c:v>
                </c:pt>
                <c:pt idx="132">
                  <c:v>593.57000000000005</c:v>
                </c:pt>
                <c:pt idx="133">
                  <c:v>577.57000000000005</c:v>
                </c:pt>
                <c:pt idx="134">
                  <c:v>522.62</c:v>
                </c:pt>
                <c:pt idx="135">
                  <c:v>449.88</c:v>
                </c:pt>
                <c:pt idx="136">
                  <c:v>385.15</c:v>
                </c:pt>
                <c:pt idx="137">
                  <c:v>272.26</c:v>
                </c:pt>
                <c:pt idx="138">
                  <c:v>161.58000000000001</c:v>
                </c:pt>
                <c:pt idx="139">
                  <c:v>67.58</c:v>
                </c:pt>
                <c:pt idx="140">
                  <c:v>1.04</c:v>
                </c:pt>
                <c:pt idx="141">
                  <c:v>0</c:v>
                </c:pt>
                <c:pt idx="142">
                  <c:v>0</c:v>
                </c:pt>
                <c:pt idx="143">
                  <c:v>0</c:v>
                </c:pt>
                <c:pt idx="144">
                  <c:v>0</c:v>
                </c:pt>
                <c:pt idx="145">
                  <c:v>0</c:v>
                </c:pt>
                <c:pt idx="146">
                  <c:v>0</c:v>
                </c:pt>
                <c:pt idx="147">
                  <c:v>0</c:v>
                </c:pt>
                <c:pt idx="148">
                  <c:v>0</c:v>
                </c:pt>
                <c:pt idx="149">
                  <c:v>39.42</c:v>
                </c:pt>
                <c:pt idx="150">
                  <c:v>130.5</c:v>
                </c:pt>
                <c:pt idx="151">
                  <c:v>249.57</c:v>
                </c:pt>
                <c:pt idx="152">
                  <c:v>375.89</c:v>
                </c:pt>
                <c:pt idx="153">
                  <c:v>481.86</c:v>
                </c:pt>
                <c:pt idx="154">
                  <c:v>544.22</c:v>
                </c:pt>
                <c:pt idx="155">
                  <c:v>563.05999999999995</c:v>
                </c:pt>
                <c:pt idx="156">
                  <c:v>567.84</c:v>
                </c:pt>
                <c:pt idx="157">
                  <c:v>568.91</c:v>
                </c:pt>
                <c:pt idx="158">
                  <c:v>497.48</c:v>
                </c:pt>
                <c:pt idx="159">
                  <c:v>451.84</c:v>
                </c:pt>
                <c:pt idx="160">
                  <c:v>368.11</c:v>
                </c:pt>
                <c:pt idx="161">
                  <c:v>268.55</c:v>
                </c:pt>
                <c:pt idx="162">
                  <c:v>157.61000000000001</c:v>
                </c:pt>
                <c:pt idx="163">
                  <c:v>62.53</c:v>
                </c:pt>
                <c:pt idx="164">
                  <c:v>0.63</c:v>
                </c:pt>
                <c:pt idx="165">
                  <c:v>0</c:v>
                </c:pt>
                <c:pt idx="166">
                  <c:v>0</c:v>
                </c:pt>
                <c:pt idx="167">
                  <c:v>0</c:v>
                </c:pt>
                <c:pt idx="168">
                  <c:v>0</c:v>
                </c:pt>
                <c:pt idx="169">
                  <c:v>0</c:v>
                </c:pt>
                <c:pt idx="170">
                  <c:v>0</c:v>
                </c:pt>
                <c:pt idx="171">
                  <c:v>0</c:v>
                </c:pt>
                <c:pt idx="172">
                  <c:v>0</c:v>
                </c:pt>
                <c:pt idx="173">
                  <c:v>6.62</c:v>
                </c:pt>
                <c:pt idx="174">
                  <c:v>77.3</c:v>
                </c:pt>
                <c:pt idx="175">
                  <c:v>194.09</c:v>
                </c:pt>
                <c:pt idx="176">
                  <c:v>318.97000000000003</c:v>
                </c:pt>
                <c:pt idx="177">
                  <c:v>427.37</c:v>
                </c:pt>
                <c:pt idx="178">
                  <c:v>502.01</c:v>
                </c:pt>
                <c:pt idx="179">
                  <c:v>512.39</c:v>
                </c:pt>
                <c:pt idx="180">
                  <c:v>534.75</c:v>
                </c:pt>
                <c:pt idx="181">
                  <c:v>505.19</c:v>
                </c:pt>
                <c:pt idx="182">
                  <c:v>451.2</c:v>
                </c:pt>
                <c:pt idx="183">
                  <c:v>377.86</c:v>
                </c:pt>
                <c:pt idx="184">
                  <c:v>302.18</c:v>
                </c:pt>
                <c:pt idx="185">
                  <c:v>204.11</c:v>
                </c:pt>
                <c:pt idx="186">
                  <c:v>96.74</c:v>
                </c:pt>
                <c:pt idx="187">
                  <c:v>12.58</c:v>
                </c:pt>
                <c:pt idx="188">
                  <c:v>0</c:v>
                </c:pt>
                <c:pt idx="189">
                  <c:v>0</c:v>
                </c:pt>
                <c:pt idx="190">
                  <c:v>0</c:v>
                </c:pt>
                <c:pt idx="191">
                  <c:v>0</c:v>
                </c:pt>
                <c:pt idx="192">
                  <c:v>0</c:v>
                </c:pt>
                <c:pt idx="193">
                  <c:v>0</c:v>
                </c:pt>
                <c:pt idx="194">
                  <c:v>0</c:v>
                </c:pt>
                <c:pt idx="195">
                  <c:v>0</c:v>
                </c:pt>
                <c:pt idx="196">
                  <c:v>0</c:v>
                </c:pt>
                <c:pt idx="197">
                  <c:v>0</c:v>
                </c:pt>
                <c:pt idx="198">
                  <c:v>18.260000000000002</c:v>
                </c:pt>
                <c:pt idx="199">
                  <c:v>115.31</c:v>
                </c:pt>
                <c:pt idx="200">
                  <c:v>229.66</c:v>
                </c:pt>
                <c:pt idx="201">
                  <c:v>334.98</c:v>
                </c:pt>
                <c:pt idx="202">
                  <c:v>410.09</c:v>
                </c:pt>
                <c:pt idx="203">
                  <c:v>436.96</c:v>
                </c:pt>
                <c:pt idx="204">
                  <c:v>429.95</c:v>
                </c:pt>
                <c:pt idx="205">
                  <c:v>402.04</c:v>
                </c:pt>
                <c:pt idx="206">
                  <c:v>360.76</c:v>
                </c:pt>
                <c:pt idx="207">
                  <c:v>280.74</c:v>
                </c:pt>
                <c:pt idx="208">
                  <c:v>186.01</c:v>
                </c:pt>
                <c:pt idx="209">
                  <c:v>94.71</c:v>
                </c:pt>
                <c:pt idx="210">
                  <c:v>9.74</c:v>
                </c:pt>
                <c:pt idx="211">
                  <c:v>0</c:v>
                </c:pt>
                <c:pt idx="212">
                  <c:v>0</c:v>
                </c:pt>
                <c:pt idx="213">
                  <c:v>0</c:v>
                </c:pt>
                <c:pt idx="214">
                  <c:v>0</c:v>
                </c:pt>
                <c:pt idx="215">
                  <c:v>0</c:v>
                </c:pt>
                <c:pt idx="216">
                  <c:v>0</c:v>
                </c:pt>
                <c:pt idx="217">
                  <c:v>0</c:v>
                </c:pt>
                <c:pt idx="218">
                  <c:v>0</c:v>
                </c:pt>
                <c:pt idx="219">
                  <c:v>0</c:v>
                </c:pt>
                <c:pt idx="220">
                  <c:v>0</c:v>
                </c:pt>
                <c:pt idx="221">
                  <c:v>0</c:v>
                </c:pt>
                <c:pt idx="222">
                  <c:v>0</c:v>
                </c:pt>
                <c:pt idx="223">
                  <c:v>30.51</c:v>
                </c:pt>
                <c:pt idx="224">
                  <c:v>115.21</c:v>
                </c:pt>
                <c:pt idx="225">
                  <c:v>192.21</c:v>
                </c:pt>
                <c:pt idx="226">
                  <c:v>243.72</c:v>
                </c:pt>
                <c:pt idx="227">
                  <c:v>287.5</c:v>
                </c:pt>
                <c:pt idx="228">
                  <c:v>284.99</c:v>
                </c:pt>
                <c:pt idx="229">
                  <c:v>250.1</c:v>
                </c:pt>
                <c:pt idx="230">
                  <c:v>203.62</c:v>
                </c:pt>
                <c:pt idx="231">
                  <c:v>139.75</c:v>
                </c:pt>
                <c:pt idx="232">
                  <c:v>64.78</c:v>
                </c:pt>
                <c:pt idx="233">
                  <c:v>2.57</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26.14</c:v>
                </c:pt>
                <c:pt idx="249">
                  <c:v>85.28</c:v>
                </c:pt>
                <c:pt idx="250">
                  <c:v>119.47</c:v>
                </c:pt>
                <c:pt idx="251">
                  <c:v>154.97</c:v>
                </c:pt>
                <c:pt idx="252">
                  <c:v>157.18</c:v>
                </c:pt>
                <c:pt idx="253">
                  <c:v>134.16999999999999</c:v>
                </c:pt>
                <c:pt idx="254">
                  <c:v>99.03</c:v>
                </c:pt>
                <c:pt idx="255">
                  <c:v>47.99</c:v>
                </c:pt>
                <c:pt idx="256">
                  <c:v>1.22</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35.93</c:v>
                </c:pt>
                <c:pt idx="274">
                  <c:v>81.78</c:v>
                </c:pt>
                <c:pt idx="275">
                  <c:v>105.03</c:v>
                </c:pt>
                <c:pt idx="276">
                  <c:v>108.61</c:v>
                </c:pt>
                <c:pt idx="277">
                  <c:v>97.66</c:v>
                </c:pt>
                <c:pt idx="278">
                  <c:v>68.569999999999993</c:v>
                </c:pt>
                <c:pt idx="279">
                  <c:v>22.13</c:v>
                </c:pt>
                <c:pt idx="280">
                  <c:v>0</c:v>
                </c:pt>
                <c:pt idx="281">
                  <c:v>0</c:v>
                </c:pt>
                <c:pt idx="282">
                  <c:v>0</c:v>
                </c:pt>
                <c:pt idx="283">
                  <c:v>0</c:v>
                </c:pt>
                <c:pt idx="284">
                  <c:v>0</c:v>
                </c:pt>
                <c:pt idx="285">
                  <c:v>0</c:v>
                </c:pt>
                <c:pt idx="286">
                  <c:v>0</c:v>
                </c:pt>
                <c:pt idx="287">
                  <c:v>0</c:v>
                </c:pt>
              </c:numCache>
            </c:numRef>
          </c:val>
          <c:smooth val="1"/>
        </c:ser>
        <c:marker val="1"/>
        <c:axId val="77410688"/>
        <c:axId val="77412224"/>
      </c:lineChart>
      <c:catAx>
        <c:axId val="77410688"/>
        <c:scaling>
          <c:orientation val="minMax"/>
        </c:scaling>
        <c:axPos val="b"/>
        <c:numFmt formatCode="hh:mm" sourceLinked="1"/>
        <c:majorTickMark val="none"/>
        <c:tickLblPos val="nextTo"/>
        <c:txPr>
          <a:bodyPr/>
          <a:lstStyle/>
          <a:p>
            <a:pPr>
              <a:defRPr sz="800"/>
            </a:pPr>
            <a:endParaRPr lang="de-DE"/>
          </a:p>
        </c:txPr>
        <c:crossAx val="77412224"/>
        <c:crosses val="autoZero"/>
        <c:auto val="1"/>
        <c:lblAlgn val="ctr"/>
        <c:lblOffset val="100"/>
        <c:tickLblSkip val="6"/>
        <c:tickMarkSkip val="1"/>
      </c:catAx>
      <c:valAx>
        <c:axId val="77412224"/>
        <c:scaling>
          <c:orientation val="minMax"/>
          <c:min val="0"/>
        </c:scaling>
        <c:axPos val="l"/>
        <c:majorGridlines/>
        <c:title>
          <c:tx>
            <c:rich>
              <a:bodyPr rot="-5400000" vert="horz"/>
              <a:lstStyle/>
              <a:p>
                <a:pPr>
                  <a:defRPr sz="800" b="0"/>
                </a:pPr>
                <a:r>
                  <a:rPr lang="de-DE" sz="800" b="0"/>
                  <a:t>Globale Strahlung (W/m²)</a:t>
                </a:r>
              </a:p>
            </c:rich>
          </c:tx>
          <c:layout>
            <c:manualLayout>
              <c:xMode val="edge"/>
              <c:yMode val="edge"/>
              <c:x val="9.8334497178678565E-3"/>
              <c:y val="6.1871517397223727E-2"/>
            </c:manualLayout>
          </c:layout>
        </c:title>
        <c:numFmt formatCode="General" sourceLinked="1"/>
        <c:tickLblPos val="nextTo"/>
        <c:crossAx val="77410688"/>
        <c:crosses val="autoZero"/>
        <c:crossBetween val="midCat"/>
      </c:valAx>
    </c:plotArea>
    <c:plotVisOnly val="1"/>
  </c:chart>
  <c:printSettings>
    <c:headerFooter/>
    <c:pageMargins b="0.78740157499999996" l="0.70000000000000062" r="0.70000000000000062" t="0.78740157499999996" header="0.30000000000000032" footer="0.30000000000000032"/>
    <c:pageSetup/>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97155</xdr:colOff>
      <xdr:row>14</xdr:row>
      <xdr:rowOff>142875</xdr:rowOff>
    </xdr:from>
    <xdr:to>
      <xdr:col>3</xdr:col>
      <xdr:colOff>668655</xdr:colOff>
      <xdr:row>20</xdr:row>
      <xdr:rowOff>110489</xdr:rowOff>
    </xdr:to>
    <xdr:graphicFrame macro="">
      <xdr:nvGraphicFramePr>
        <xdr:cNvPr id="4" name="Diagramm 3">
          <a:extLst>
            <a:ext uri="{FF2B5EF4-FFF2-40B4-BE49-F238E27FC236}">
              <a16:creationId xmlns="" xmlns:a16="http://schemas.microsoft.com/office/drawing/2014/main"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xdr:colOff>
      <xdr:row>14</xdr:row>
      <xdr:rowOff>142875</xdr:rowOff>
    </xdr:from>
    <xdr:to>
      <xdr:col>7</xdr:col>
      <xdr:colOff>628650</xdr:colOff>
      <xdr:row>20</xdr:row>
      <xdr:rowOff>110489</xdr:rowOff>
    </xdr:to>
    <xdr:graphicFrame macro="">
      <xdr:nvGraphicFramePr>
        <xdr:cNvPr id="3" name="Diagramm 2">
          <a:extLst>
            <a:ext uri="{FF2B5EF4-FFF2-40B4-BE49-F238E27FC236}">
              <a16:creationId xmlns="" xmlns:a16="http://schemas.microsoft.com/office/drawing/2014/main"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14</xdr:row>
      <xdr:rowOff>142875</xdr:rowOff>
    </xdr:from>
    <xdr:to>
      <xdr:col>11</xdr:col>
      <xdr:colOff>609600</xdr:colOff>
      <xdr:row>20</xdr:row>
      <xdr:rowOff>110489</xdr:rowOff>
    </xdr:to>
    <xdr:graphicFrame macro="">
      <xdr:nvGraphicFramePr>
        <xdr:cNvPr id="5" name="Diagramm 4">
          <a:extLst>
            <a:ext uri="{FF2B5EF4-FFF2-40B4-BE49-F238E27FC236}">
              <a16:creationId xmlns="" xmlns:a16="http://schemas.microsoft.com/office/drawing/2014/main"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57151</xdr:colOff>
      <xdr:row>7</xdr:row>
      <xdr:rowOff>95250</xdr:rowOff>
    </xdr:from>
    <xdr:to>
      <xdr:col>11</xdr:col>
      <xdr:colOff>695325</xdr:colOff>
      <xdr:row>15</xdr:row>
      <xdr:rowOff>123825</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0.07839</cdr:x>
      <cdr:y>0.86631</cdr:y>
    </cdr:from>
    <cdr:to>
      <cdr:x>0.97889</cdr:x>
      <cdr:y>0.98396</cdr:y>
    </cdr:to>
    <cdr:sp macro="" textlink="">
      <cdr:nvSpPr>
        <cdr:cNvPr id="2" name="Textfeld 1"/>
        <cdr:cNvSpPr txBox="1"/>
      </cdr:nvSpPr>
      <cdr:spPr>
        <a:xfrm xmlns:a="http://schemas.openxmlformats.org/drawingml/2006/main">
          <a:off x="742949" y="1543051"/>
          <a:ext cx="8534400" cy="209550"/>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de-DE" sz="1100"/>
            <a:t>Jan</a:t>
          </a:r>
          <a:r>
            <a:rPr lang="de-DE" sz="1100" baseline="0"/>
            <a:t>                     </a:t>
          </a:r>
          <a:r>
            <a:rPr lang="de-DE" sz="1100"/>
            <a:t>Feb                Mrz                Apr                Mai                Juni                 Juli                Aug                Sep                 Okt                Nov                 Dez        </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49596</xdr:colOff>
      <xdr:row>0</xdr:row>
      <xdr:rowOff>84522</xdr:rowOff>
    </xdr:from>
    <xdr:to>
      <xdr:col>9</xdr:col>
      <xdr:colOff>352425</xdr:colOff>
      <xdr:row>5</xdr:row>
      <xdr:rowOff>158751</xdr:rowOff>
    </xdr:to>
    <xdr:sp macro="" textlink="">
      <xdr:nvSpPr>
        <xdr:cNvPr id="2" name="Rechteck 1">
          <a:extLst>
            <a:ext uri="{FF2B5EF4-FFF2-40B4-BE49-F238E27FC236}">
              <a16:creationId xmlns="" xmlns:a16="http://schemas.microsoft.com/office/drawing/2014/main" id="{396EFE7F-7240-4AE8-B3AC-88CEE20B54CE}"/>
            </a:ext>
          </a:extLst>
        </xdr:cNvPr>
        <xdr:cNvSpPr/>
      </xdr:nvSpPr>
      <xdr:spPr>
        <a:xfrm>
          <a:off x="11193846" y="84522"/>
          <a:ext cx="4874829" cy="12077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4</xdr:col>
      <xdr:colOff>495301</xdr:colOff>
      <xdr:row>12</xdr:row>
      <xdr:rowOff>38100</xdr:rowOff>
    </xdr:from>
    <xdr:to>
      <xdr:col>7</xdr:col>
      <xdr:colOff>790576</xdr:colOff>
      <xdr:row>17</xdr:row>
      <xdr:rowOff>150774</xdr:rowOff>
    </xdr:to>
    <xdr:sp macro="" textlink="">
      <xdr:nvSpPr>
        <xdr:cNvPr id="3" name="Ellipse 2">
          <a:extLst>
            <a:ext uri="{FF2B5EF4-FFF2-40B4-BE49-F238E27FC236}">
              <a16:creationId xmlns="" xmlns:a16="http://schemas.microsoft.com/office/drawing/2014/main" id="{BEC4E862-3886-44AB-821D-D989FE3BD156}"/>
            </a:ext>
          </a:extLst>
        </xdr:cNvPr>
        <xdr:cNvSpPr/>
      </xdr:nvSpPr>
      <xdr:spPr>
        <a:xfrm>
          <a:off x="4095751" y="2324100"/>
          <a:ext cx="2952750" cy="106517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3</xdr:col>
      <xdr:colOff>43414</xdr:colOff>
      <xdr:row>6</xdr:row>
      <xdr:rowOff>68170</xdr:rowOff>
    </xdr:from>
    <xdr:to>
      <xdr:col>9</xdr:col>
      <xdr:colOff>351631</xdr:colOff>
      <xdr:row>11</xdr:row>
      <xdr:rowOff>142399</xdr:rowOff>
    </xdr:to>
    <xdr:grpSp>
      <xdr:nvGrpSpPr>
        <xdr:cNvPr id="4" name="Gruppieren 3">
          <a:extLst>
            <a:ext uri="{FF2B5EF4-FFF2-40B4-BE49-F238E27FC236}">
              <a16:creationId xmlns="" xmlns:a16="http://schemas.microsoft.com/office/drawing/2014/main" id="{ACB6287F-8FDB-4FF9-9325-3A4A07D5D29A}"/>
            </a:ext>
          </a:extLst>
        </xdr:cNvPr>
        <xdr:cNvGrpSpPr/>
      </xdr:nvGrpSpPr>
      <xdr:grpSpPr>
        <a:xfrm>
          <a:off x="7053814" y="1211170"/>
          <a:ext cx="5851767" cy="1026729"/>
          <a:chOff x="11552789" y="1433420"/>
          <a:chExt cx="2594217" cy="1185479"/>
        </a:xfrm>
      </xdr:grpSpPr>
      <xdr:sp macro="" textlink="">
        <xdr:nvSpPr>
          <xdr:cNvPr id="5" name="Ellipse 4">
            <a:extLst>
              <a:ext uri="{FF2B5EF4-FFF2-40B4-BE49-F238E27FC236}">
                <a16:creationId xmlns="" xmlns:a16="http://schemas.microsoft.com/office/drawing/2014/main" id="{52985D4A-B95A-41C6-9A04-168D69FA44AA}"/>
              </a:ext>
            </a:extLst>
          </xdr:cNvPr>
          <xdr:cNvSpPr/>
        </xdr:nvSpPr>
        <xdr:spPr>
          <a:xfrm>
            <a:off x="12962606"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6" name="Ellipse 5">
            <a:extLst>
              <a:ext uri="{FF2B5EF4-FFF2-40B4-BE49-F238E27FC236}">
                <a16:creationId xmlns="" xmlns:a16="http://schemas.microsoft.com/office/drawing/2014/main" id="{FAEDAB37-E035-4421-90C3-9388BA461F0C}"/>
              </a:ext>
            </a:extLst>
          </xdr:cNvPr>
          <xdr:cNvSpPr/>
        </xdr:nvSpPr>
        <xdr:spPr>
          <a:xfrm>
            <a:off x="11552789"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7" name="Rechteck 6">
            <a:extLst>
              <a:ext uri="{FF2B5EF4-FFF2-40B4-BE49-F238E27FC236}">
                <a16:creationId xmlns="" xmlns:a16="http://schemas.microsoft.com/office/drawing/2014/main" id="{1256DE64-EB30-4C2B-A434-4F59004B4877}"/>
              </a:ext>
            </a:extLst>
          </xdr:cNvPr>
          <xdr:cNvSpPr/>
        </xdr:nvSpPr>
        <xdr:spPr>
          <a:xfrm>
            <a:off x="12215813" y="1433420"/>
            <a:ext cx="1254126" cy="1185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grpSp>
    <xdr:clientData/>
  </xdr:twoCellAnchor>
</xdr:wsDr>
</file>

<file path=xl/queryTables/queryTable1.xml><?xml version="1.0" encoding="utf-8"?>
<queryTable xmlns="http://schemas.openxmlformats.org/spreadsheetml/2006/main" name="ExterneDaten_6" growShrinkType="overwriteClear"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eDaten_5" growShrinkType="overwriteClear"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eDaten_4" growShrinkType="overwriteClear"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eDaten_3" growShrinkType="overwriteClear" connectionId="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eDaten_2" growShrinkType="overwriteClear" connectionId="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eDaten_1" growShrinkType="overwriteClear" connectionId="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eDaten_7" growShrinkType="overwriteClear" connectionId="7" autoFormatId="16" applyNumberFormats="0" applyBorderFormats="0" applyFontFormats="1" applyPatternFormats="1" applyAlignmentFormats="0" applyWidthHeightFormats="0"/>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laenderdaten.info/Europa/Deutschland/sonnenuntergang.php" TargetMode="External"/><Relationship Id="rId1" Type="http://schemas.openxmlformats.org/officeDocument/2006/relationships/hyperlink" Target="https://www.worldweatheronline.com/"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re.jrc.ec.europa.eu/pvg_tools/en/" TargetMode="Externa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8" Type="http://schemas.openxmlformats.org/officeDocument/2006/relationships/queryTable" Target="../queryTables/queryTable6.xml"/><Relationship Id="rId3" Type="http://schemas.openxmlformats.org/officeDocument/2006/relationships/queryTable" Target="../queryTables/queryTable1.xml"/><Relationship Id="rId7" Type="http://schemas.openxmlformats.org/officeDocument/2006/relationships/queryTable" Target="../queryTables/queryTable5.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 Id="rId9" Type="http://schemas.openxmlformats.org/officeDocument/2006/relationships/queryTable" Target="../queryTables/queryTable7.xml"/></Relationships>
</file>

<file path=xl/worksheets/sheet1.xml><?xml version="1.0" encoding="utf-8"?>
<worksheet xmlns="http://schemas.openxmlformats.org/spreadsheetml/2006/main" xmlns:r="http://schemas.openxmlformats.org/officeDocument/2006/relationships">
  <sheetPr codeName="Tabelle1"/>
  <dimension ref="B2:N37"/>
  <sheetViews>
    <sheetView workbookViewId="0">
      <selection activeCell="B17" sqref="B17:G18"/>
    </sheetView>
  </sheetViews>
  <sheetFormatPr baseColWidth="10" defaultRowHeight="15"/>
  <cols>
    <col min="1" max="1" width="6.7109375" style="1" customWidth="1"/>
    <col min="2" max="2" width="11.42578125" style="1"/>
    <col min="3" max="3" width="5.5703125" style="1" customWidth="1"/>
    <col min="4" max="4" width="57" style="1" customWidth="1"/>
    <col min="5" max="7" width="11.42578125" style="1"/>
    <col min="8" max="8" width="5.28515625" style="1" customWidth="1"/>
    <col min="9" max="16384" width="11.42578125" style="1"/>
  </cols>
  <sheetData>
    <row r="2" spans="2:14">
      <c r="B2" s="6" t="s">
        <v>3</v>
      </c>
    </row>
    <row r="3" spans="2:14" ht="7.5" customHeight="1"/>
    <row r="4" spans="2:14">
      <c r="B4" s="7" t="s">
        <v>2</v>
      </c>
      <c r="D4" s="1" t="s">
        <v>1</v>
      </c>
    </row>
    <row r="5" spans="2:14" ht="7.5" customHeight="1"/>
    <row r="6" spans="2:14">
      <c r="B6" s="5" t="s">
        <v>5</v>
      </c>
      <c r="D6" s="1" t="s">
        <v>4</v>
      </c>
    </row>
    <row r="7" spans="2:14" ht="7.5" customHeight="1"/>
    <row r="8" spans="2:14">
      <c r="B8" s="4" t="s">
        <v>5</v>
      </c>
      <c r="D8" s="1" t="s">
        <v>6</v>
      </c>
    </row>
    <row r="10" spans="2:14">
      <c r="B10" s="6" t="s">
        <v>13</v>
      </c>
      <c r="C10" s="16">
        <f>MAX(C27:C1000)</f>
        <v>3</v>
      </c>
    </row>
    <row r="12" spans="2:14">
      <c r="B12" s="6" t="s">
        <v>50</v>
      </c>
    </row>
    <row r="13" spans="2:14" ht="7.5" customHeight="1"/>
    <row r="14" spans="2:14" ht="15" customHeight="1">
      <c r="B14" s="173" t="s">
        <v>14</v>
      </c>
      <c r="C14" s="174"/>
      <c r="D14" s="174"/>
      <c r="E14" s="174"/>
      <c r="F14" s="174"/>
      <c r="G14" s="175"/>
      <c r="I14" s="179" t="s">
        <v>7</v>
      </c>
      <c r="J14" s="179"/>
      <c r="K14" s="179"/>
      <c r="L14" s="179"/>
      <c r="M14" s="14"/>
      <c r="N14" s="15"/>
    </row>
    <row r="15" spans="2:14">
      <c r="B15" s="176"/>
      <c r="C15" s="177"/>
      <c r="D15" s="177"/>
      <c r="E15" s="177"/>
      <c r="F15" s="177"/>
      <c r="G15" s="178"/>
      <c r="I15" s="179"/>
      <c r="J15" s="179"/>
      <c r="K15" s="179"/>
      <c r="L15" s="179"/>
      <c r="M15" s="14"/>
      <c r="N15" s="15"/>
    </row>
    <row r="16" spans="2:14">
      <c r="I16" s="179"/>
      <c r="J16" s="179"/>
      <c r="K16" s="179"/>
      <c r="L16" s="179"/>
      <c r="M16" s="14"/>
      <c r="N16" s="15"/>
    </row>
    <row r="17" spans="2:14" ht="15" customHeight="1">
      <c r="B17" s="173" t="s">
        <v>84</v>
      </c>
      <c r="C17" s="174"/>
      <c r="D17" s="174"/>
      <c r="E17" s="174"/>
      <c r="F17" s="174"/>
      <c r="G17" s="175"/>
      <c r="I17" s="179"/>
      <c r="J17" s="179"/>
      <c r="K17" s="179"/>
      <c r="L17" s="179"/>
      <c r="M17" s="14"/>
      <c r="N17" s="15"/>
    </row>
    <row r="18" spans="2:14" ht="15" customHeight="1">
      <c r="B18" s="176"/>
      <c r="C18" s="177"/>
      <c r="D18" s="177"/>
      <c r="E18" s="177"/>
      <c r="F18" s="177"/>
      <c r="G18" s="178"/>
      <c r="I18" s="179"/>
      <c r="J18" s="179"/>
      <c r="K18" s="179"/>
      <c r="L18" s="179"/>
      <c r="M18" s="14"/>
      <c r="N18" s="15"/>
    </row>
    <row r="19" spans="2:14">
      <c r="I19" s="179"/>
      <c r="J19" s="179"/>
      <c r="K19" s="179"/>
      <c r="L19" s="179"/>
      <c r="M19" s="14"/>
      <c r="N19" s="15"/>
    </row>
    <row r="20" spans="2:14" ht="15" customHeight="1">
      <c r="B20" s="173" t="s">
        <v>104</v>
      </c>
      <c r="C20" s="174"/>
      <c r="D20" s="174"/>
      <c r="E20" s="174"/>
      <c r="F20" s="174"/>
      <c r="G20" s="175"/>
      <c r="I20" s="179"/>
      <c r="J20" s="179"/>
      <c r="K20" s="179"/>
      <c r="L20" s="179"/>
      <c r="M20" s="14"/>
      <c r="N20" s="15"/>
    </row>
    <row r="21" spans="2:14" ht="15" customHeight="1">
      <c r="B21" s="176"/>
      <c r="C21" s="177"/>
      <c r="D21" s="177"/>
      <c r="E21" s="177"/>
      <c r="F21" s="177"/>
      <c r="G21" s="178"/>
      <c r="I21" s="179"/>
      <c r="J21" s="179"/>
      <c r="K21" s="179"/>
      <c r="L21" s="179"/>
      <c r="M21" s="14"/>
      <c r="N21" s="15"/>
    </row>
    <row r="24" spans="2:14">
      <c r="B24" s="8" t="s">
        <v>8</v>
      </c>
    </row>
    <row r="26" spans="2:14">
      <c r="B26" s="9" t="s">
        <v>9</v>
      </c>
      <c r="C26" s="10" t="s">
        <v>12</v>
      </c>
      <c r="D26" s="11" t="s">
        <v>10</v>
      </c>
    </row>
    <row r="27" spans="2:14">
      <c r="B27" s="12">
        <v>44457</v>
      </c>
      <c r="C27" s="13">
        <v>1</v>
      </c>
      <c r="D27" s="1" t="s">
        <v>11</v>
      </c>
    </row>
    <row r="28" spans="2:14">
      <c r="B28" s="12">
        <v>44459</v>
      </c>
      <c r="C28" s="13">
        <v>2</v>
      </c>
      <c r="D28" s="3" t="s">
        <v>116</v>
      </c>
    </row>
    <row r="29" spans="2:14">
      <c r="B29" s="12">
        <v>44461</v>
      </c>
      <c r="C29" s="13">
        <v>3</v>
      </c>
      <c r="D29" s="3" t="s">
        <v>142</v>
      </c>
    </row>
    <row r="30" spans="2:14">
      <c r="B30" s="12"/>
      <c r="C30" s="13"/>
    </row>
    <row r="31" spans="2:14">
      <c r="C31" s="13"/>
    </row>
    <row r="32" spans="2:14">
      <c r="C32" s="13"/>
    </row>
    <row r="33" spans="3:3">
      <c r="C33" s="13"/>
    </row>
    <row r="34" spans="3:3">
      <c r="C34" s="13"/>
    </row>
    <row r="35" spans="3:3">
      <c r="C35" s="13"/>
    </row>
    <row r="36" spans="3:3">
      <c r="C36" s="13"/>
    </row>
    <row r="37" spans="3:3">
      <c r="C37" s="13"/>
    </row>
  </sheetData>
  <mergeCells count="4">
    <mergeCell ref="B14:G15"/>
    <mergeCell ref="B17:G18"/>
    <mergeCell ref="B20:G21"/>
    <mergeCell ref="I14:L21"/>
  </mergeCells>
  <hyperlinks>
    <hyperlink ref="B14:G15" location="Dateneingabe!A1" display="1. Dateneingabe"/>
    <hyperlink ref="B17:G18" location="Wärmepumpe!A1" display="2. Berechnung Wärmepumpen"/>
    <hyperlink ref="B20:G21" location="Solarabsorber!A1" display="3. Berechnung Solarabsorber"/>
  </hyperlinks>
  <pageMargins left="0.7" right="0.7" top="0.78740157499999996" bottom="0.78740157499999996" header="0.3" footer="0.3"/>
  <pageSetup paperSize="9" orientation="landscape" r:id="rId1"/>
  <headerFooter>
    <oddFooter>&amp;C&amp;1#&amp;"Arial"&amp;10&amp;K000000Internal</oddFooter>
  </headerFooter>
</worksheet>
</file>

<file path=xl/worksheets/sheet2.xml><?xml version="1.0" encoding="utf-8"?>
<worksheet xmlns="http://schemas.openxmlformats.org/spreadsheetml/2006/main" xmlns:r="http://schemas.openxmlformats.org/officeDocument/2006/relationships">
  <sheetPr codeName="Tabelle2">
    <pageSetUpPr fitToPage="1"/>
  </sheetPr>
  <dimension ref="B1:AE50"/>
  <sheetViews>
    <sheetView workbookViewId="0">
      <selection activeCell="U2" sqref="U2:V2"/>
    </sheetView>
  </sheetViews>
  <sheetFormatPr baseColWidth="10" defaultRowHeight="17.25" customHeight="1"/>
  <cols>
    <col min="1" max="1" width="2.7109375" style="1" customWidth="1"/>
    <col min="2" max="2" width="12.85546875" style="1" customWidth="1"/>
    <col min="3" max="5" width="9.7109375" style="1" customWidth="1"/>
    <col min="6" max="6" width="11.42578125" style="1" customWidth="1"/>
    <col min="7" max="7" width="9.7109375" style="1" customWidth="1"/>
    <col min="8" max="8" width="6" style="1" customWidth="1"/>
    <col min="9" max="9" width="5.5703125" style="1" customWidth="1"/>
    <col min="10" max="16" width="5.7109375" style="1" customWidth="1"/>
    <col min="17" max="17" width="2.28515625" style="1" customWidth="1"/>
    <col min="18" max="19" width="5.5703125" style="1" customWidth="1"/>
    <col min="20" max="20" width="2.5703125" style="1" customWidth="1"/>
    <col min="32" max="16384" width="11.42578125" style="1"/>
  </cols>
  <sheetData>
    <row r="1" spans="2:28" ht="10.5" customHeight="1" thickBot="1"/>
    <row r="2" spans="2:28" ht="20.25" customHeight="1" thickBot="1">
      <c r="B2" s="45" t="s">
        <v>15</v>
      </c>
      <c r="C2" s="33"/>
      <c r="D2" s="33"/>
      <c r="E2" s="33"/>
      <c r="F2" s="33"/>
      <c r="G2" s="36"/>
      <c r="I2" s="195" t="s">
        <v>48</v>
      </c>
      <c r="J2" s="196"/>
      <c r="K2" s="196"/>
      <c r="L2" s="196"/>
      <c r="M2" s="196"/>
      <c r="N2" s="196"/>
      <c r="O2" s="196"/>
      <c r="P2" s="196"/>
      <c r="Q2" s="196"/>
      <c r="R2" s="196"/>
      <c r="S2" s="197"/>
      <c r="U2" s="189" t="s">
        <v>51</v>
      </c>
      <c r="V2" s="190"/>
    </row>
    <row r="3" spans="2:28" ht="17.25" customHeight="1">
      <c r="B3" s="37"/>
      <c r="C3" s="2"/>
      <c r="D3" s="2"/>
      <c r="E3" s="2"/>
      <c r="F3" s="2"/>
      <c r="G3" s="39"/>
      <c r="I3" s="55"/>
      <c r="J3" s="56"/>
      <c r="K3" s="56"/>
      <c r="L3" s="56"/>
      <c r="M3" s="56"/>
      <c r="N3" s="56"/>
      <c r="O3" s="56"/>
      <c r="P3" s="56"/>
      <c r="Q3" s="56"/>
      <c r="R3" s="56"/>
      <c r="S3" s="57"/>
    </row>
    <row r="4" spans="2:28" ht="17.25" customHeight="1">
      <c r="B4" s="37" t="s">
        <v>16</v>
      </c>
      <c r="C4" s="7">
        <v>6</v>
      </c>
      <c r="D4" s="2" t="s">
        <v>27</v>
      </c>
      <c r="E4" s="2"/>
      <c r="F4" s="2"/>
      <c r="G4" s="39"/>
      <c r="I4" s="55"/>
      <c r="J4" s="194"/>
      <c r="K4" s="194"/>
      <c r="L4" s="194"/>
      <c r="M4" s="194"/>
      <c r="N4" s="194"/>
      <c r="O4" s="194"/>
      <c r="P4" s="194"/>
      <c r="Q4" s="31"/>
      <c r="R4" s="58" t="s">
        <v>32</v>
      </c>
      <c r="S4" s="57"/>
    </row>
    <row r="5" spans="2:28" ht="17.25" customHeight="1">
      <c r="B5" s="37" t="s">
        <v>17</v>
      </c>
      <c r="C5" s="7">
        <v>3.2</v>
      </c>
      <c r="D5" s="2" t="s">
        <v>27</v>
      </c>
      <c r="E5" s="2"/>
      <c r="F5" s="2"/>
      <c r="G5" s="39"/>
      <c r="I5" s="55"/>
      <c r="J5" s="194"/>
      <c r="K5" s="194"/>
      <c r="L5" s="194"/>
      <c r="M5" s="194"/>
      <c r="N5" s="194"/>
      <c r="O5" s="194"/>
      <c r="P5" s="194"/>
      <c r="Q5" s="31"/>
      <c r="R5" s="56"/>
      <c r="S5" s="57"/>
    </row>
    <row r="6" spans="2:28" ht="17.25" customHeight="1">
      <c r="B6" s="37" t="s">
        <v>28</v>
      </c>
      <c r="C6" s="7">
        <v>1.3</v>
      </c>
      <c r="D6" s="2" t="s">
        <v>27</v>
      </c>
      <c r="E6" s="2"/>
      <c r="F6" s="2"/>
      <c r="G6" s="39"/>
      <c r="I6" s="55"/>
      <c r="J6" s="194"/>
      <c r="K6" s="194"/>
      <c r="L6" s="194"/>
      <c r="M6" s="194"/>
      <c r="N6" s="194"/>
      <c r="O6" s="194"/>
      <c r="P6" s="194"/>
      <c r="Q6" s="31"/>
      <c r="R6" s="191">
        <f>IF(C8=Hilfsdaten!A4,C4,C5)</f>
        <v>3.2</v>
      </c>
      <c r="S6" s="57"/>
    </row>
    <row r="7" spans="2:28" ht="17.25" customHeight="1">
      <c r="B7" s="37"/>
      <c r="C7" s="2"/>
      <c r="D7" s="2"/>
      <c r="E7" s="2"/>
      <c r="F7" s="2"/>
      <c r="G7" s="39"/>
      <c r="I7" s="55"/>
      <c r="J7" s="194"/>
      <c r="K7" s="194"/>
      <c r="L7" s="194"/>
      <c r="M7" s="194"/>
      <c r="N7" s="194"/>
      <c r="O7" s="194"/>
      <c r="P7" s="194"/>
      <c r="Q7" s="31"/>
      <c r="R7" s="192"/>
      <c r="S7" s="57"/>
    </row>
    <row r="8" spans="2:28" ht="17.25" customHeight="1">
      <c r="B8" s="37" t="s">
        <v>18</v>
      </c>
      <c r="C8" s="193" t="s">
        <v>19</v>
      </c>
      <c r="D8" s="193"/>
      <c r="E8" s="2"/>
      <c r="F8" s="2"/>
      <c r="G8" s="39"/>
      <c r="I8" s="55"/>
      <c r="J8" s="194"/>
      <c r="K8" s="194"/>
      <c r="L8" s="194"/>
      <c r="M8" s="194"/>
      <c r="N8" s="194"/>
      <c r="O8" s="194"/>
      <c r="P8" s="194"/>
      <c r="Q8" s="31"/>
      <c r="R8" s="56"/>
      <c r="S8" s="57"/>
    </row>
    <row r="9" spans="2:28" ht="17.25" customHeight="1" thickBot="1">
      <c r="B9" s="37"/>
      <c r="C9" s="2"/>
      <c r="D9" s="2"/>
      <c r="E9" s="2"/>
      <c r="F9" s="2"/>
      <c r="G9" s="39"/>
      <c r="I9" s="55"/>
      <c r="J9" s="194"/>
      <c r="K9" s="194"/>
      <c r="L9" s="194"/>
      <c r="M9" s="194"/>
      <c r="N9" s="194"/>
      <c r="O9" s="194"/>
      <c r="P9" s="194"/>
      <c r="Q9" s="31"/>
      <c r="R9" s="59" t="s">
        <v>33</v>
      </c>
      <c r="S9" s="57"/>
    </row>
    <row r="10" spans="2:28" ht="17.25" customHeight="1">
      <c r="B10" s="32" t="s">
        <v>22</v>
      </c>
      <c r="C10" s="33"/>
      <c r="D10" s="34" t="s">
        <v>24</v>
      </c>
      <c r="E10" s="35">
        <f>IF(C8=Hilfsdaten!A2,C4*C5,IF(C8=Hilfsdaten!A3,PI()/4*C5^2+((C4-C5)*C5),IF(C8=Hilfsdaten!A4,PI()/4*C4^2,"Fehler")))</f>
        <v>17.002477193189868</v>
      </c>
      <c r="F10" s="33" t="s">
        <v>29</v>
      </c>
      <c r="G10" s="36"/>
      <c r="I10" s="55"/>
      <c r="J10" s="56"/>
      <c r="K10" s="56"/>
      <c r="L10" s="60" t="s">
        <v>30</v>
      </c>
      <c r="M10" s="61">
        <f>C4-C5</f>
        <v>2.8</v>
      </c>
      <c r="N10" s="62" t="s">
        <v>31</v>
      </c>
      <c r="O10" s="56"/>
      <c r="P10" s="56"/>
      <c r="Q10" s="56"/>
      <c r="R10" s="56"/>
      <c r="S10" s="57"/>
    </row>
    <row r="11" spans="2:28" ht="17.25" customHeight="1">
      <c r="B11" s="37" t="s">
        <v>23</v>
      </c>
      <c r="C11" s="2"/>
      <c r="D11" s="38" t="s">
        <v>25</v>
      </c>
      <c r="E11" s="24">
        <f>IF(C8=Hilfsdaten!A2,(C4*C6+C5*C6)*2,IF(C8=Hilfsdaten!A3,(PI()*C5*C6)+((C4-C5)*C6*2),IF(C8=Hilfsdaten!A4,PI()*C4*C6,"Fehler")))</f>
        <v>20.349025438933538</v>
      </c>
      <c r="F11" s="2" t="s">
        <v>29</v>
      </c>
      <c r="G11" s="39"/>
      <c r="I11" s="55"/>
      <c r="J11" s="60" t="s">
        <v>30</v>
      </c>
      <c r="K11" s="56"/>
      <c r="L11" s="60" t="s">
        <v>30</v>
      </c>
      <c r="M11" s="61">
        <f>C4</f>
        <v>6</v>
      </c>
      <c r="N11" s="62" t="s">
        <v>31</v>
      </c>
      <c r="O11" s="56"/>
      <c r="P11" s="62" t="s">
        <v>31</v>
      </c>
      <c r="Q11" s="63"/>
      <c r="R11" s="56"/>
      <c r="S11" s="57"/>
    </row>
    <row r="12" spans="2:28" ht="17.25" customHeight="1" thickBot="1">
      <c r="B12" s="40" t="s">
        <v>52</v>
      </c>
      <c r="C12" s="41"/>
      <c r="D12" s="42" t="s">
        <v>26</v>
      </c>
      <c r="E12" s="43">
        <f>IF(E10="Fehler","Fehler",E10*C6)</f>
        <v>22.103220351146831</v>
      </c>
      <c r="F12" s="41" t="s">
        <v>0</v>
      </c>
      <c r="G12" s="44"/>
      <c r="I12" s="64"/>
      <c r="J12" s="65"/>
      <c r="K12" s="65"/>
      <c r="L12" s="65"/>
      <c r="M12" s="65"/>
      <c r="N12" s="65"/>
      <c r="O12" s="65"/>
      <c r="P12" s="65"/>
      <c r="Q12" s="65"/>
      <c r="R12" s="65"/>
      <c r="S12" s="66"/>
    </row>
    <row r="13" spans="2:28" ht="17.25" customHeight="1" thickBot="1"/>
    <row r="14" spans="2:28" ht="17.25" customHeight="1" thickBot="1">
      <c r="B14" s="46" t="s">
        <v>40</v>
      </c>
      <c r="C14" s="47"/>
      <c r="D14" s="47"/>
      <c r="E14" s="47"/>
      <c r="F14" s="47"/>
      <c r="G14" s="48"/>
      <c r="H14" s="17"/>
      <c r="I14" s="180" t="s">
        <v>103</v>
      </c>
      <c r="J14" s="181"/>
      <c r="K14" s="181"/>
      <c r="L14" s="181"/>
      <c r="M14" s="181"/>
      <c r="N14" s="181"/>
      <c r="O14" s="181"/>
      <c r="P14" s="181"/>
      <c r="Q14" s="181"/>
      <c r="R14" s="181"/>
      <c r="S14" s="182"/>
      <c r="U14" s="1" t="s">
        <v>81</v>
      </c>
      <c r="V14" s="206" t="s">
        <v>82</v>
      </c>
      <c r="W14" s="206"/>
      <c r="X14" s="206"/>
      <c r="Y14" s="206"/>
      <c r="Z14" s="206"/>
      <c r="AA14" s="206"/>
      <c r="AB14" s="206"/>
    </row>
    <row r="15" spans="2:28" ht="33.75" customHeight="1" thickBot="1">
      <c r="B15" s="18" t="s">
        <v>34</v>
      </c>
      <c r="C15" s="26" t="s">
        <v>43</v>
      </c>
      <c r="D15" s="27" t="s">
        <v>44</v>
      </c>
      <c r="E15" s="27" t="s">
        <v>46</v>
      </c>
      <c r="F15" s="27" t="s">
        <v>45</v>
      </c>
      <c r="G15" s="25" t="s">
        <v>47</v>
      </c>
      <c r="H15" s="52"/>
      <c r="I15" s="183"/>
      <c r="J15" s="184"/>
      <c r="K15" s="184"/>
      <c r="L15" s="184"/>
      <c r="M15" s="184"/>
      <c r="N15" s="184"/>
      <c r="O15" s="184"/>
      <c r="P15" s="184"/>
      <c r="Q15" s="184"/>
      <c r="R15" s="184"/>
      <c r="S15" s="185"/>
      <c r="T15" s="17"/>
      <c r="U15" s="1" t="s">
        <v>81</v>
      </c>
      <c r="V15" s="206" t="s">
        <v>83</v>
      </c>
      <c r="W15" s="206"/>
      <c r="X15" s="206"/>
      <c r="Y15" s="206"/>
      <c r="Z15" s="206"/>
      <c r="AA15" s="206"/>
      <c r="AB15" s="206"/>
    </row>
    <row r="16" spans="2:28" ht="17.25" customHeight="1">
      <c r="B16" s="19" t="s">
        <v>41</v>
      </c>
      <c r="C16" s="118"/>
      <c r="D16" s="119"/>
      <c r="E16" s="119"/>
      <c r="F16" s="22">
        <v>14.16</v>
      </c>
      <c r="G16" s="28" t="str">
        <f t="shared" ref="G16:G22" si="0">IF(C16&lt;&gt;"",((D16*F16)+(C16*(24-F16)))/24,"")</f>
        <v/>
      </c>
      <c r="H16" s="53"/>
      <c r="I16" s="183"/>
      <c r="J16" s="184"/>
      <c r="K16" s="184"/>
      <c r="L16" s="184"/>
      <c r="M16" s="184"/>
      <c r="N16" s="184"/>
      <c r="O16" s="184"/>
      <c r="P16" s="184"/>
      <c r="Q16" s="184"/>
      <c r="R16" s="184"/>
      <c r="S16" s="185"/>
      <c r="T16" s="2"/>
    </row>
    <row r="17" spans="2:28" ht="17.25" customHeight="1">
      <c r="B17" s="20" t="s">
        <v>35</v>
      </c>
      <c r="C17" s="50">
        <v>7</v>
      </c>
      <c r="D17" s="51">
        <v>13</v>
      </c>
      <c r="E17" s="51">
        <v>11</v>
      </c>
      <c r="F17" s="7">
        <v>15.83</v>
      </c>
      <c r="G17" s="29">
        <f t="shared" si="0"/>
        <v>10.957500000000001</v>
      </c>
      <c r="H17" s="53"/>
      <c r="I17" s="183"/>
      <c r="J17" s="184"/>
      <c r="K17" s="184"/>
      <c r="L17" s="184"/>
      <c r="M17" s="184"/>
      <c r="N17" s="184"/>
      <c r="O17" s="184"/>
      <c r="P17" s="184"/>
      <c r="Q17" s="184"/>
      <c r="R17" s="184"/>
      <c r="S17" s="185"/>
      <c r="T17" s="2"/>
    </row>
    <row r="18" spans="2:28" ht="17.25" customHeight="1">
      <c r="B18" s="20" t="s">
        <v>36</v>
      </c>
      <c r="C18" s="50">
        <v>15</v>
      </c>
      <c r="D18" s="51">
        <v>23</v>
      </c>
      <c r="E18" s="51">
        <v>20</v>
      </c>
      <c r="F18" s="7">
        <v>16.88</v>
      </c>
      <c r="G18" s="29">
        <f t="shared" si="0"/>
        <v>20.626666666666665</v>
      </c>
      <c r="H18" s="53"/>
      <c r="I18" s="183"/>
      <c r="J18" s="184"/>
      <c r="K18" s="184"/>
      <c r="L18" s="184"/>
      <c r="M18" s="184"/>
      <c r="N18" s="184"/>
      <c r="O18" s="184"/>
      <c r="P18" s="184"/>
      <c r="Q18" s="184"/>
      <c r="R18" s="184"/>
      <c r="S18" s="185"/>
      <c r="T18" s="2"/>
    </row>
    <row r="19" spans="2:28" ht="17.25" customHeight="1">
      <c r="B19" s="20" t="s">
        <v>37</v>
      </c>
      <c r="C19" s="50">
        <v>14</v>
      </c>
      <c r="D19" s="51">
        <v>22</v>
      </c>
      <c r="E19" s="51">
        <v>20</v>
      </c>
      <c r="F19" s="7">
        <v>16.420000000000002</v>
      </c>
      <c r="G19" s="29">
        <f t="shared" si="0"/>
        <v>19.473333333333333</v>
      </c>
      <c r="H19" s="53"/>
      <c r="I19" s="183"/>
      <c r="J19" s="184"/>
      <c r="K19" s="184"/>
      <c r="L19" s="184"/>
      <c r="M19" s="184"/>
      <c r="N19" s="184"/>
      <c r="O19" s="184"/>
      <c r="P19" s="184"/>
      <c r="Q19" s="184"/>
      <c r="R19" s="184"/>
      <c r="S19" s="185"/>
    </row>
    <row r="20" spans="2:28" ht="17.25" customHeight="1">
      <c r="B20" s="20" t="s">
        <v>38</v>
      </c>
      <c r="C20" s="50">
        <v>14</v>
      </c>
      <c r="D20" s="51">
        <v>21</v>
      </c>
      <c r="E20" s="51">
        <v>18</v>
      </c>
      <c r="F20" s="7">
        <v>14.75</v>
      </c>
      <c r="G20" s="29">
        <f t="shared" si="0"/>
        <v>18.302083333333332</v>
      </c>
      <c r="H20" s="53"/>
      <c r="I20" s="183"/>
      <c r="J20" s="184"/>
      <c r="K20" s="184"/>
      <c r="L20" s="184"/>
      <c r="M20" s="184"/>
      <c r="N20" s="184"/>
      <c r="O20" s="184"/>
      <c r="P20" s="184"/>
      <c r="Q20" s="184"/>
      <c r="R20" s="184"/>
      <c r="S20" s="185"/>
    </row>
    <row r="21" spans="2:28" ht="17.25" customHeight="1">
      <c r="B21" s="20" t="s">
        <v>39</v>
      </c>
      <c r="C21" s="50">
        <v>13</v>
      </c>
      <c r="D21" s="51">
        <v>20</v>
      </c>
      <c r="E21" s="51">
        <v>17</v>
      </c>
      <c r="F21" s="7">
        <v>12.75</v>
      </c>
      <c r="G21" s="29">
        <f t="shared" si="0"/>
        <v>16.71875</v>
      </c>
      <c r="H21" s="53"/>
      <c r="I21" s="183"/>
      <c r="J21" s="184"/>
      <c r="K21" s="184"/>
      <c r="L21" s="184"/>
      <c r="M21" s="184"/>
      <c r="N21" s="184"/>
      <c r="O21" s="184"/>
      <c r="P21" s="184"/>
      <c r="Q21" s="184"/>
      <c r="R21" s="184"/>
      <c r="S21" s="185"/>
    </row>
    <row r="22" spans="2:28" ht="17.25" customHeight="1" thickBot="1">
      <c r="B22" s="21" t="s">
        <v>42</v>
      </c>
      <c r="C22" s="116"/>
      <c r="D22" s="117"/>
      <c r="E22" s="117"/>
      <c r="F22" s="23">
        <v>10.72</v>
      </c>
      <c r="G22" s="30" t="str">
        <f t="shared" si="0"/>
        <v/>
      </c>
      <c r="H22" s="53"/>
      <c r="I22" s="186"/>
      <c r="J22" s="187"/>
      <c r="K22" s="187"/>
      <c r="L22" s="187"/>
      <c r="M22" s="187"/>
      <c r="N22" s="187"/>
      <c r="O22" s="187"/>
      <c r="P22" s="187"/>
      <c r="Q22" s="187"/>
      <c r="R22" s="187"/>
      <c r="S22" s="188"/>
    </row>
    <row r="23" spans="2:28" ht="17.25" customHeight="1" thickBot="1"/>
    <row r="24" spans="2:28" ht="17.25" customHeight="1">
      <c r="B24" s="45" t="s">
        <v>85</v>
      </c>
      <c r="C24" s="33"/>
      <c r="D24" s="33"/>
      <c r="E24" s="33"/>
      <c r="F24" s="33"/>
      <c r="G24" s="36"/>
      <c r="I24" s="180" t="s">
        <v>95</v>
      </c>
      <c r="J24" s="204"/>
      <c r="K24" s="204"/>
      <c r="L24" s="204"/>
      <c r="M24" s="204"/>
      <c r="N24" s="204"/>
      <c r="O24" s="204"/>
      <c r="P24" s="204"/>
      <c r="Q24" s="204"/>
      <c r="R24" s="204"/>
      <c r="S24" s="205"/>
      <c r="U24" s="1" t="s">
        <v>81</v>
      </c>
      <c r="V24" s="206" t="s">
        <v>96</v>
      </c>
      <c r="W24" s="206"/>
      <c r="X24" s="206"/>
      <c r="Y24" s="206"/>
      <c r="Z24" s="206"/>
      <c r="AA24" s="206"/>
      <c r="AB24" s="206"/>
    </row>
    <row r="25" spans="2:28" ht="17.25" customHeight="1">
      <c r="B25" s="37"/>
      <c r="C25" s="2"/>
      <c r="D25" s="2"/>
      <c r="E25" s="2"/>
      <c r="F25" s="2"/>
      <c r="G25" s="39"/>
      <c r="I25" s="198"/>
      <c r="J25" s="199"/>
      <c r="K25" s="199"/>
      <c r="L25" s="199"/>
      <c r="M25" s="199"/>
      <c r="N25" s="199"/>
      <c r="O25" s="199"/>
      <c r="P25" s="199"/>
      <c r="Q25" s="199"/>
      <c r="R25" s="199"/>
      <c r="S25" s="202"/>
    </row>
    <row r="26" spans="2:28" ht="17.25" customHeight="1">
      <c r="B26" s="37" t="s">
        <v>86</v>
      </c>
      <c r="D26" s="49">
        <v>0.28999999999999998</v>
      </c>
      <c r="E26" s="2" t="s">
        <v>49</v>
      </c>
      <c r="F26" s="2"/>
      <c r="G26" s="39"/>
      <c r="I26" s="198"/>
      <c r="J26" s="199"/>
      <c r="K26" s="199"/>
      <c r="L26" s="199"/>
      <c r="M26" s="199"/>
      <c r="N26" s="199"/>
      <c r="O26" s="199"/>
      <c r="P26" s="199"/>
      <c r="Q26" s="199"/>
      <c r="R26" s="199"/>
      <c r="S26" s="202"/>
    </row>
    <row r="27" spans="2:28" ht="17.25" customHeight="1">
      <c r="B27" s="37"/>
      <c r="C27" s="70"/>
      <c r="D27" s="2"/>
      <c r="E27" s="2"/>
      <c r="F27" s="2"/>
      <c r="G27" s="39"/>
      <c r="I27" s="198"/>
      <c r="J27" s="199"/>
      <c r="K27" s="199"/>
      <c r="L27" s="199"/>
      <c r="M27" s="199"/>
      <c r="N27" s="199"/>
      <c r="O27" s="199"/>
      <c r="P27" s="199"/>
      <c r="Q27" s="199"/>
      <c r="R27" s="199"/>
      <c r="S27" s="202"/>
    </row>
    <row r="28" spans="2:28" ht="17.25" customHeight="1">
      <c r="B28" s="37" t="s">
        <v>89</v>
      </c>
      <c r="C28" s="70"/>
      <c r="D28" s="51">
        <v>26</v>
      </c>
      <c r="E28" s="2" t="s">
        <v>66</v>
      </c>
      <c r="F28" s="2"/>
      <c r="G28" s="39"/>
      <c r="I28" s="198"/>
      <c r="J28" s="199"/>
      <c r="K28" s="199"/>
      <c r="L28" s="199"/>
      <c r="M28" s="199"/>
      <c r="N28" s="199"/>
      <c r="O28" s="199"/>
      <c r="P28" s="199"/>
      <c r="Q28" s="199"/>
      <c r="R28" s="199"/>
      <c r="S28" s="202"/>
    </row>
    <row r="29" spans="2:28" ht="17.25" customHeight="1">
      <c r="B29" s="37"/>
      <c r="C29" s="70"/>
      <c r="D29" s="2"/>
      <c r="E29" s="2"/>
      <c r="F29" s="2"/>
      <c r="G29" s="39"/>
      <c r="I29" s="198"/>
      <c r="J29" s="199"/>
      <c r="K29" s="199"/>
      <c r="L29" s="199"/>
      <c r="M29" s="199"/>
      <c r="N29" s="199"/>
      <c r="O29" s="199"/>
      <c r="P29" s="199"/>
      <c r="Q29" s="199"/>
      <c r="R29" s="199"/>
      <c r="S29" s="202"/>
    </row>
    <row r="30" spans="2:28" ht="17.25" customHeight="1">
      <c r="B30" s="37" t="s">
        <v>87</v>
      </c>
      <c r="C30" s="70"/>
      <c r="D30" s="49">
        <v>5.7290000000000001</v>
      </c>
      <c r="E30" s="2" t="s">
        <v>97</v>
      </c>
      <c r="F30" s="2"/>
      <c r="G30" s="39"/>
      <c r="I30" s="198"/>
      <c r="J30" s="199"/>
      <c r="K30" s="199"/>
      <c r="L30" s="199"/>
      <c r="M30" s="199"/>
      <c r="N30" s="199"/>
      <c r="O30" s="199"/>
      <c r="P30" s="199"/>
      <c r="Q30" s="199"/>
      <c r="R30" s="199"/>
      <c r="S30" s="202"/>
    </row>
    <row r="31" spans="2:28" ht="17.25" customHeight="1">
      <c r="B31" s="37" t="s">
        <v>88</v>
      </c>
      <c r="C31" s="70"/>
      <c r="D31" s="49">
        <v>1.4930000000000001</v>
      </c>
      <c r="E31" s="2" t="s">
        <v>97</v>
      </c>
      <c r="F31" s="2"/>
      <c r="G31" s="39"/>
      <c r="I31" s="198"/>
      <c r="J31" s="199"/>
      <c r="K31" s="199"/>
      <c r="L31" s="199"/>
      <c r="M31" s="199"/>
      <c r="N31" s="199"/>
      <c r="O31" s="199"/>
      <c r="P31" s="199"/>
      <c r="Q31" s="199"/>
      <c r="R31" s="199"/>
      <c r="S31" s="202"/>
    </row>
    <row r="32" spans="2:28" ht="17.25" customHeight="1">
      <c r="B32" s="37" t="s">
        <v>100</v>
      </c>
      <c r="C32" s="70"/>
      <c r="D32" s="49">
        <v>3.7040000000000002</v>
      </c>
      <c r="E32" s="2" t="s">
        <v>97</v>
      </c>
      <c r="F32" s="2"/>
      <c r="G32" s="39"/>
      <c r="I32" s="198" t="s">
        <v>90</v>
      </c>
      <c r="J32" s="199"/>
      <c r="K32" s="199"/>
      <c r="L32" s="199" t="s">
        <v>92</v>
      </c>
      <c r="M32" s="199"/>
      <c r="N32" s="199" t="s">
        <v>91</v>
      </c>
      <c r="O32" s="199"/>
      <c r="P32" s="199"/>
      <c r="Q32" s="199"/>
      <c r="R32" s="199" t="s">
        <v>93</v>
      </c>
      <c r="S32" s="202"/>
    </row>
    <row r="33" spans="2:19" ht="17.25" customHeight="1">
      <c r="B33" s="37"/>
      <c r="F33" s="2"/>
      <c r="G33" s="39"/>
      <c r="I33" s="198"/>
      <c r="J33" s="199"/>
      <c r="K33" s="199"/>
      <c r="L33" s="199"/>
      <c r="M33" s="199"/>
      <c r="N33" s="199"/>
      <c r="O33" s="199"/>
      <c r="P33" s="199"/>
      <c r="Q33" s="199"/>
      <c r="R33" s="199"/>
      <c r="S33" s="202"/>
    </row>
    <row r="34" spans="2:19" ht="17.25" customHeight="1">
      <c r="B34" s="37" t="s">
        <v>94</v>
      </c>
      <c r="C34" s="70"/>
      <c r="D34" s="4">
        <v>4.1820000000000004</v>
      </c>
      <c r="E34" s="2" t="s">
        <v>65</v>
      </c>
      <c r="F34" s="2"/>
      <c r="G34" s="39"/>
      <c r="I34" s="198"/>
      <c r="J34" s="199"/>
      <c r="K34" s="199"/>
      <c r="L34" s="199"/>
      <c r="M34" s="199"/>
      <c r="N34" s="199"/>
      <c r="O34" s="199"/>
      <c r="P34" s="199"/>
      <c r="Q34" s="199"/>
      <c r="R34" s="199"/>
      <c r="S34" s="202"/>
    </row>
    <row r="35" spans="2:19" ht="17.25" customHeight="1">
      <c r="B35" s="37"/>
      <c r="C35" s="70"/>
      <c r="D35" s="2"/>
      <c r="E35" s="2"/>
      <c r="F35" s="2"/>
      <c r="G35" s="39"/>
      <c r="I35" s="198"/>
      <c r="J35" s="199"/>
      <c r="K35" s="199"/>
      <c r="L35" s="199"/>
      <c r="M35" s="199"/>
      <c r="N35" s="199"/>
      <c r="O35" s="199"/>
      <c r="P35" s="199"/>
      <c r="Q35" s="199"/>
      <c r="R35" s="199"/>
      <c r="S35" s="202"/>
    </row>
    <row r="36" spans="2:19" ht="17.25" customHeight="1">
      <c r="B36" s="37"/>
      <c r="C36" s="70"/>
      <c r="D36" s="2"/>
      <c r="E36" s="2"/>
      <c r="F36" s="2"/>
      <c r="G36" s="39"/>
      <c r="I36" s="198"/>
      <c r="J36" s="199"/>
      <c r="K36" s="199"/>
      <c r="L36" s="199"/>
      <c r="M36" s="199"/>
      <c r="N36" s="199"/>
      <c r="O36" s="199"/>
      <c r="P36" s="199"/>
      <c r="Q36" s="199"/>
      <c r="R36" s="199"/>
      <c r="S36" s="202"/>
    </row>
    <row r="37" spans="2:19" ht="17.25" customHeight="1" thickBot="1">
      <c r="B37" s="40"/>
      <c r="C37" s="41"/>
      <c r="D37" s="41"/>
      <c r="E37" s="41"/>
      <c r="F37" s="41"/>
      <c r="G37" s="44"/>
      <c r="I37" s="200"/>
      <c r="J37" s="201"/>
      <c r="K37" s="201"/>
      <c r="L37" s="201"/>
      <c r="M37" s="201"/>
      <c r="N37" s="201"/>
      <c r="O37" s="201"/>
      <c r="P37" s="201"/>
      <c r="Q37" s="201"/>
      <c r="R37" s="201"/>
      <c r="S37" s="203"/>
    </row>
    <row r="38" spans="2:19" ht="17.25" customHeight="1" thickBot="1"/>
    <row r="39" spans="2:19" ht="17.25" customHeight="1">
      <c r="B39" s="45" t="s">
        <v>106</v>
      </c>
      <c r="C39" s="33"/>
      <c r="D39" s="33"/>
      <c r="E39" s="33"/>
      <c r="F39" s="33"/>
      <c r="G39" s="131"/>
      <c r="I39" s="180" t="s">
        <v>114</v>
      </c>
      <c r="J39" s="181"/>
      <c r="K39" s="181"/>
      <c r="L39" s="181"/>
      <c r="M39" s="181"/>
      <c r="N39" s="181"/>
      <c r="O39" s="181"/>
      <c r="P39" s="181"/>
      <c r="Q39" s="181"/>
      <c r="R39" s="181"/>
      <c r="S39" s="182"/>
    </row>
    <row r="40" spans="2:19" ht="17.25" customHeight="1">
      <c r="B40" s="132"/>
      <c r="C40" s="2"/>
      <c r="D40" s="2"/>
      <c r="E40" s="2"/>
      <c r="F40" s="2"/>
      <c r="G40" s="133"/>
      <c r="I40" s="183"/>
      <c r="J40" s="184"/>
      <c r="K40" s="184"/>
      <c r="L40" s="184"/>
      <c r="M40" s="184"/>
      <c r="N40" s="184"/>
      <c r="O40" s="184"/>
      <c r="P40" s="184"/>
      <c r="Q40" s="184"/>
      <c r="R40" s="184"/>
      <c r="S40" s="185"/>
    </row>
    <row r="41" spans="2:19" ht="17.25" customHeight="1">
      <c r="B41" s="141" t="s">
        <v>109</v>
      </c>
      <c r="C41" s="2"/>
      <c r="D41" s="2"/>
      <c r="E41" s="49">
        <v>0.49</v>
      </c>
      <c r="F41" s="2" t="s">
        <v>59</v>
      </c>
      <c r="G41" s="133"/>
      <c r="I41" s="183"/>
      <c r="J41" s="184"/>
      <c r="K41" s="184"/>
      <c r="L41" s="184"/>
      <c r="M41" s="184"/>
      <c r="N41" s="184"/>
      <c r="O41" s="184"/>
      <c r="P41" s="184"/>
      <c r="Q41" s="184"/>
      <c r="R41" s="184"/>
      <c r="S41" s="185"/>
    </row>
    <row r="42" spans="2:19" ht="17.25" customHeight="1" thickBot="1">
      <c r="B42" s="134"/>
      <c r="C42" s="41"/>
      <c r="D42" s="41"/>
      <c r="E42" s="2"/>
      <c r="F42" s="2"/>
      <c r="G42" s="133"/>
      <c r="I42" s="183"/>
      <c r="J42" s="184"/>
      <c r="K42" s="184"/>
      <c r="L42" s="184"/>
      <c r="M42" s="184"/>
      <c r="N42" s="184"/>
      <c r="O42" s="184"/>
      <c r="P42" s="184"/>
      <c r="Q42" s="184"/>
      <c r="R42" s="184"/>
      <c r="S42" s="185"/>
    </row>
    <row r="43" spans="2:19" ht="17.25" customHeight="1" thickBot="1">
      <c r="B43" s="18" t="s">
        <v>34</v>
      </c>
      <c r="C43" s="26" t="s">
        <v>107</v>
      </c>
      <c r="D43" s="25" t="s">
        <v>108</v>
      </c>
      <c r="E43" s="52"/>
      <c r="F43" s="52"/>
      <c r="G43" s="135"/>
      <c r="I43" s="183"/>
      <c r="J43" s="184"/>
      <c r="K43" s="184"/>
      <c r="L43" s="184"/>
      <c r="M43" s="184"/>
      <c r="N43" s="184"/>
      <c r="O43" s="184"/>
      <c r="P43" s="184"/>
      <c r="Q43" s="184"/>
      <c r="R43" s="184"/>
      <c r="S43" s="185"/>
    </row>
    <row r="44" spans="2:19" ht="17.25" customHeight="1">
      <c r="B44" s="19" t="s">
        <v>41</v>
      </c>
      <c r="C44" s="118">
        <v>4</v>
      </c>
      <c r="D44" s="138">
        <v>8</v>
      </c>
      <c r="E44" s="136"/>
      <c r="F44" s="69"/>
      <c r="G44" s="128"/>
      <c r="I44" s="183"/>
      <c r="J44" s="184"/>
      <c r="K44" s="184"/>
      <c r="L44" s="184"/>
      <c r="M44" s="184"/>
      <c r="N44" s="184"/>
      <c r="O44" s="184"/>
      <c r="P44" s="184"/>
      <c r="Q44" s="184"/>
      <c r="R44" s="184"/>
      <c r="S44" s="185"/>
    </row>
    <row r="45" spans="2:19" ht="17.25" customHeight="1">
      <c r="B45" s="20" t="s">
        <v>35</v>
      </c>
      <c r="C45" s="50">
        <v>6</v>
      </c>
      <c r="D45" s="139">
        <v>10</v>
      </c>
      <c r="E45" s="136"/>
      <c r="F45" s="69"/>
      <c r="G45" s="128"/>
      <c r="I45" s="183"/>
      <c r="J45" s="184"/>
      <c r="K45" s="184"/>
      <c r="L45" s="184"/>
      <c r="M45" s="184"/>
      <c r="N45" s="184"/>
      <c r="O45" s="184"/>
      <c r="P45" s="184"/>
      <c r="Q45" s="184"/>
      <c r="R45" s="184"/>
      <c r="S45" s="185"/>
    </row>
    <row r="46" spans="2:19" ht="17.25" customHeight="1">
      <c r="B46" s="20" t="s">
        <v>36</v>
      </c>
      <c r="C46" s="50">
        <v>8</v>
      </c>
      <c r="D46" s="139">
        <v>12</v>
      </c>
      <c r="E46" s="136"/>
      <c r="F46" s="69"/>
      <c r="G46" s="128"/>
      <c r="I46" s="183"/>
      <c r="J46" s="184"/>
      <c r="K46" s="184"/>
      <c r="L46" s="184"/>
      <c r="M46" s="184"/>
      <c r="N46" s="184"/>
      <c r="O46" s="184"/>
      <c r="P46" s="184"/>
      <c r="Q46" s="184"/>
      <c r="R46" s="184"/>
      <c r="S46" s="185"/>
    </row>
    <row r="47" spans="2:19" ht="17.25" customHeight="1">
      <c r="B47" s="20" t="s">
        <v>37</v>
      </c>
      <c r="C47" s="50">
        <v>8</v>
      </c>
      <c r="D47" s="139">
        <v>12</v>
      </c>
      <c r="E47" s="136"/>
      <c r="F47" s="69"/>
      <c r="G47" s="128"/>
      <c r="I47" s="183"/>
      <c r="J47" s="184"/>
      <c r="K47" s="184"/>
      <c r="L47" s="184"/>
      <c r="M47" s="184"/>
      <c r="N47" s="184"/>
      <c r="O47" s="184"/>
      <c r="P47" s="184"/>
      <c r="Q47" s="184"/>
      <c r="R47" s="184"/>
      <c r="S47" s="185"/>
    </row>
    <row r="48" spans="2:19" ht="17.25" customHeight="1">
      <c r="B48" s="20" t="s">
        <v>38</v>
      </c>
      <c r="C48" s="50">
        <v>6</v>
      </c>
      <c r="D48" s="139">
        <v>10</v>
      </c>
      <c r="E48" s="136"/>
      <c r="F48" s="69"/>
      <c r="G48" s="128"/>
      <c r="I48" s="183"/>
      <c r="J48" s="184"/>
      <c r="K48" s="184"/>
      <c r="L48" s="184"/>
      <c r="M48" s="184"/>
      <c r="N48" s="184"/>
      <c r="O48" s="184"/>
      <c r="P48" s="184"/>
      <c r="Q48" s="184"/>
      <c r="R48" s="184"/>
      <c r="S48" s="185"/>
    </row>
    <row r="49" spans="2:19" ht="17.25" customHeight="1">
      <c r="B49" s="20" t="s">
        <v>39</v>
      </c>
      <c r="C49" s="50">
        <v>6</v>
      </c>
      <c r="D49" s="139">
        <v>10</v>
      </c>
      <c r="E49" s="136"/>
      <c r="F49" s="69"/>
      <c r="G49" s="128"/>
      <c r="I49" s="183"/>
      <c r="J49" s="184"/>
      <c r="K49" s="184"/>
      <c r="L49" s="184"/>
      <c r="M49" s="184"/>
      <c r="N49" s="184"/>
      <c r="O49" s="184"/>
      <c r="P49" s="184"/>
      <c r="Q49" s="184"/>
      <c r="R49" s="184"/>
      <c r="S49" s="185"/>
    </row>
    <row r="50" spans="2:19" ht="17.25" customHeight="1" thickBot="1">
      <c r="B50" s="21" t="s">
        <v>42</v>
      </c>
      <c r="C50" s="116">
        <v>4</v>
      </c>
      <c r="D50" s="140">
        <v>8</v>
      </c>
      <c r="E50" s="137"/>
      <c r="F50" s="129"/>
      <c r="G50" s="130"/>
      <c r="I50" s="186"/>
      <c r="J50" s="187"/>
      <c r="K50" s="187"/>
      <c r="L50" s="187"/>
      <c r="M50" s="187"/>
      <c r="N50" s="187"/>
      <c r="O50" s="187"/>
      <c r="P50" s="187"/>
      <c r="Q50" s="187"/>
      <c r="R50" s="187"/>
      <c r="S50" s="188"/>
    </row>
  </sheetData>
  <mergeCells count="15">
    <mergeCell ref="I39:S50"/>
    <mergeCell ref="U2:V2"/>
    <mergeCell ref="R6:R7"/>
    <mergeCell ref="C8:D8"/>
    <mergeCell ref="J4:P9"/>
    <mergeCell ref="I2:S2"/>
    <mergeCell ref="I14:S22"/>
    <mergeCell ref="I32:K37"/>
    <mergeCell ref="L32:M37"/>
    <mergeCell ref="N32:Q37"/>
    <mergeCell ref="R32:S37"/>
    <mergeCell ref="I24:S31"/>
    <mergeCell ref="V14:AB14"/>
    <mergeCell ref="V15:AB15"/>
    <mergeCell ref="V24:AB24"/>
  </mergeCells>
  <conditionalFormatting sqref="L10:N10">
    <cfRule type="expression" dxfId="32" priority="5">
      <formula>$C$8="Rechteckpool"</formula>
    </cfRule>
  </conditionalFormatting>
  <conditionalFormatting sqref="L11">
    <cfRule type="expression" dxfId="31" priority="4">
      <formula>$C$8="Rechteckpool"</formula>
    </cfRule>
  </conditionalFormatting>
  <conditionalFormatting sqref="N11">
    <cfRule type="expression" dxfId="30" priority="3">
      <formula>$C$8="Rechteckpool"</formula>
    </cfRule>
  </conditionalFormatting>
  <conditionalFormatting sqref="L11 N11">
    <cfRule type="expression" dxfId="29" priority="2">
      <formula>$C$8="Ovalpool"</formula>
    </cfRule>
  </conditionalFormatting>
  <conditionalFormatting sqref="L10:N10 J11 P11">
    <cfRule type="expression" dxfId="28" priority="1">
      <formula>$C$8="Rundpool"</formula>
    </cfRule>
  </conditionalFormatting>
  <dataValidations count="1">
    <dataValidation type="list" allowBlank="1" showInputMessage="1" showErrorMessage="1" sqref="C8:D8">
      <formula1>Hilfsdaten!A2:A4</formula1>
    </dataValidation>
  </dataValidations>
  <hyperlinks>
    <hyperlink ref="U2" location="Start!A1" display="&lt;- Zurück"/>
    <hyperlink ref="V14" r:id="rId1"/>
    <hyperlink ref="V15" r:id="rId2"/>
  </hyperlinks>
  <pageMargins left="0.7" right="0.7" top="0.78740157499999996" bottom="0.78740157499999996" header="0.3" footer="0.3"/>
  <pageSetup paperSize="9" scale="99" orientation="landscape" r:id="rId3"/>
  <headerFooter>
    <oddFooter>&amp;C&amp;1#&amp;"Arial"&amp;10&amp;K000000Internal</oddFooter>
  </headerFooter>
  <legacyDrawing r:id="rId4"/>
</worksheet>
</file>

<file path=xl/worksheets/sheet3.xml><?xml version="1.0" encoding="utf-8"?>
<worksheet xmlns="http://schemas.openxmlformats.org/spreadsheetml/2006/main" xmlns:r="http://schemas.openxmlformats.org/officeDocument/2006/relationships">
  <sheetPr codeName="Tabelle3"/>
  <dimension ref="B1:P119"/>
  <sheetViews>
    <sheetView tabSelected="1" workbookViewId="0">
      <selection activeCell="B4" sqref="B4"/>
    </sheetView>
  </sheetViews>
  <sheetFormatPr baseColWidth="10" defaultRowHeight="15"/>
  <cols>
    <col min="1" max="1" width="3.140625" style="1" customWidth="1"/>
    <col min="2" max="2" width="26" style="1" customWidth="1"/>
    <col min="3" max="20" width="11.7109375" style="1" customWidth="1"/>
    <col min="21" max="16384" width="11.42578125" style="1"/>
  </cols>
  <sheetData>
    <row r="1" spans="2:15" ht="14.25" customHeight="1" thickBot="1"/>
    <row r="2" spans="2:15" ht="17.25" customHeight="1" thickBot="1">
      <c r="B2" s="151" t="s">
        <v>56</v>
      </c>
      <c r="N2" s="189" t="s">
        <v>51</v>
      </c>
      <c r="O2" s="190"/>
    </row>
    <row r="3" spans="2:15" ht="17.25" customHeight="1" thickBot="1"/>
    <row r="4" spans="2:15" ht="17.25" customHeight="1">
      <c r="B4" s="110" t="s">
        <v>53</v>
      </c>
      <c r="C4" s="111"/>
      <c r="D4" s="112"/>
      <c r="E4" s="110" t="s">
        <v>54</v>
      </c>
      <c r="F4" s="111"/>
      <c r="G4" s="111"/>
      <c r="H4" s="112"/>
      <c r="I4" s="110" t="s">
        <v>55</v>
      </c>
      <c r="J4" s="111"/>
      <c r="K4" s="111"/>
      <c r="L4" s="112"/>
      <c r="N4" s="67"/>
    </row>
    <row r="5" spans="2:15" s="72" customFormat="1" ht="7.5" customHeight="1">
      <c r="B5" s="98"/>
      <c r="C5" s="54"/>
      <c r="D5" s="97"/>
      <c r="E5" s="98"/>
      <c r="F5" s="54"/>
      <c r="G5" s="54"/>
      <c r="H5" s="97"/>
      <c r="I5" s="98"/>
      <c r="J5" s="54"/>
      <c r="K5" s="54"/>
      <c r="L5" s="97"/>
    </row>
    <row r="6" spans="2:15" ht="17.25" customHeight="1">
      <c r="B6" s="95" t="s">
        <v>101</v>
      </c>
      <c r="C6" s="51">
        <v>15</v>
      </c>
      <c r="D6" s="39" t="s">
        <v>66</v>
      </c>
      <c r="E6" s="95" t="s">
        <v>101</v>
      </c>
      <c r="F6" s="54"/>
      <c r="G6" s="51">
        <v>15</v>
      </c>
      <c r="H6" s="39" t="s">
        <v>66</v>
      </c>
      <c r="I6" s="95" t="s">
        <v>101</v>
      </c>
      <c r="J6" s="54"/>
      <c r="K6" s="51">
        <v>15</v>
      </c>
      <c r="L6" s="39" t="s">
        <v>66</v>
      </c>
    </row>
    <row r="7" spans="2:15" ht="17.25" customHeight="1">
      <c r="B7" s="37" t="s">
        <v>60</v>
      </c>
      <c r="C7" s="172">
        <v>15.5</v>
      </c>
      <c r="D7" s="39" t="s">
        <v>59</v>
      </c>
      <c r="E7" s="37" t="s">
        <v>60</v>
      </c>
      <c r="F7" s="69"/>
      <c r="G7" s="172">
        <v>12.6</v>
      </c>
      <c r="H7" s="39" t="s">
        <v>59</v>
      </c>
      <c r="I7" s="37" t="s">
        <v>60</v>
      </c>
      <c r="J7" s="69"/>
      <c r="K7" s="172">
        <v>10.59</v>
      </c>
      <c r="L7" s="39" t="s">
        <v>59</v>
      </c>
    </row>
    <row r="8" spans="2:15" ht="17.25" customHeight="1">
      <c r="B8" s="37" t="s">
        <v>63</v>
      </c>
      <c r="C8" s="172">
        <v>3.14</v>
      </c>
      <c r="D8" s="39" t="s">
        <v>59</v>
      </c>
      <c r="E8" s="37" t="s">
        <v>63</v>
      </c>
      <c r="F8" s="69"/>
      <c r="G8" s="172">
        <v>2.52</v>
      </c>
      <c r="H8" s="39" t="s">
        <v>59</v>
      </c>
      <c r="I8" s="37" t="s">
        <v>63</v>
      </c>
      <c r="J8" s="69"/>
      <c r="K8" s="172">
        <v>2.0699999999999998</v>
      </c>
      <c r="L8" s="39" t="s">
        <v>59</v>
      </c>
    </row>
    <row r="9" spans="2:15" ht="17.25" customHeight="1">
      <c r="B9" s="37" t="s">
        <v>62</v>
      </c>
      <c r="C9" s="172"/>
      <c r="D9" s="39"/>
      <c r="E9" s="37" t="s">
        <v>62</v>
      </c>
      <c r="F9" s="69"/>
      <c r="G9" s="172"/>
      <c r="H9" s="39"/>
      <c r="I9" s="37" t="s">
        <v>62</v>
      </c>
      <c r="J9" s="69"/>
      <c r="K9" s="172"/>
      <c r="L9" s="39"/>
    </row>
    <row r="10" spans="2:15" s="72" customFormat="1" ht="17.25" customHeight="1">
      <c r="B10" s="96"/>
      <c r="C10" s="69"/>
      <c r="D10" s="97"/>
      <c r="E10" s="96"/>
      <c r="F10" s="69"/>
      <c r="G10" s="69"/>
      <c r="H10" s="97"/>
      <c r="I10" s="96"/>
      <c r="J10" s="69"/>
      <c r="K10" s="69"/>
      <c r="L10" s="97"/>
    </row>
    <row r="11" spans="2:15" ht="17.25" customHeight="1">
      <c r="B11" s="95" t="s">
        <v>101</v>
      </c>
      <c r="C11" s="51">
        <v>26</v>
      </c>
      <c r="D11" s="39" t="s">
        <v>66</v>
      </c>
      <c r="E11" s="95" t="s">
        <v>101</v>
      </c>
      <c r="F11" s="69"/>
      <c r="G11" s="51">
        <v>26</v>
      </c>
      <c r="H11" s="39" t="s">
        <v>66</v>
      </c>
      <c r="I11" s="95" t="s">
        <v>101</v>
      </c>
      <c r="J11" s="69"/>
      <c r="K11" s="51">
        <v>26</v>
      </c>
      <c r="L11" s="39" t="s">
        <v>66</v>
      </c>
    </row>
    <row r="12" spans="2:15" ht="17.25" customHeight="1">
      <c r="B12" s="37" t="s">
        <v>60</v>
      </c>
      <c r="C12" s="172">
        <v>22.5</v>
      </c>
      <c r="D12" s="39" t="s">
        <v>59</v>
      </c>
      <c r="E12" s="37" t="s">
        <v>60</v>
      </c>
      <c r="F12" s="69"/>
      <c r="G12" s="172">
        <v>18</v>
      </c>
      <c r="H12" s="39" t="s">
        <v>59</v>
      </c>
      <c r="I12" s="37" t="s">
        <v>60</v>
      </c>
      <c r="J12" s="69"/>
      <c r="K12" s="172">
        <v>15.24</v>
      </c>
      <c r="L12" s="39" t="s">
        <v>59</v>
      </c>
    </row>
    <row r="13" spans="2:15" ht="17.25" customHeight="1">
      <c r="B13" s="37" t="s">
        <v>63</v>
      </c>
      <c r="C13" s="172">
        <v>3.73</v>
      </c>
      <c r="D13" s="39" t="s">
        <v>59</v>
      </c>
      <c r="E13" s="37" t="s">
        <v>63</v>
      </c>
      <c r="F13" s="69"/>
      <c r="G13" s="172">
        <v>2.82</v>
      </c>
      <c r="H13" s="39" t="s">
        <v>59</v>
      </c>
      <c r="I13" s="37" t="s">
        <v>63</v>
      </c>
      <c r="J13" s="69"/>
      <c r="K13" s="172">
        <v>2.46</v>
      </c>
      <c r="L13" s="39" t="s">
        <v>59</v>
      </c>
    </row>
    <row r="14" spans="2:15" ht="17.25" customHeight="1">
      <c r="B14" s="37" t="s">
        <v>62</v>
      </c>
      <c r="C14" s="172"/>
      <c r="D14" s="39"/>
      <c r="E14" s="37" t="s">
        <v>62</v>
      </c>
      <c r="F14" s="69"/>
      <c r="G14" s="172"/>
      <c r="H14" s="39"/>
      <c r="I14" s="37" t="s">
        <v>62</v>
      </c>
      <c r="J14" s="69"/>
      <c r="K14" s="172"/>
      <c r="L14" s="39"/>
    </row>
    <row r="15" spans="2:15" ht="17.25" customHeight="1">
      <c r="B15" s="37"/>
      <c r="C15" s="69"/>
      <c r="D15" s="39"/>
      <c r="E15" s="37"/>
      <c r="F15" s="2"/>
      <c r="G15" s="2"/>
      <c r="H15" s="39"/>
      <c r="I15" s="37"/>
      <c r="J15" s="2"/>
      <c r="K15" s="2"/>
      <c r="L15" s="39"/>
    </row>
    <row r="16" spans="2:15" ht="17.25" customHeight="1">
      <c r="B16" s="37"/>
      <c r="C16" s="2"/>
      <c r="D16" s="39"/>
      <c r="E16" s="37"/>
      <c r="F16" s="2"/>
      <c r="G16" s="2"/>
      <c r="H16" s="39"/>
      <c r="I16" s="37"/>
      <c r="J16" s="2"/>
      <c r="K16" s="2"/>
      <c r="L16" s="39"/>
    </row>
    <row r="17" spans="2:12" ht="17.25" customHeight="1">
      <c r="B17" s="37"/>
      <c r="C17" s="2"/>
      <c r="D17" s="39"/>
      <c r="E17" s="37"/>
      <c r="F17" s="2"/>
      <c r="G17" s="2"/>
      <c r="H17" s="39"/>
      <c r="I17" s="37"/>
      <c r="J17" s="2"/>
      <c r="K17" s="2"/>
      <c r="L17" s="39"/>
    </row>
    <row r="18" spans="2:12" ht="17.25" customHeight="1">
      <c r="B18" s="37"/>
      <c r="C18" s="2"/>
      <c r="D18" s="39"/>
      <c r="E18" s="37"/>
      <c r="F18" s="2"/>
      <c r="G18" s="2"/>
      <c r="H18" s="39"/>
      <c r="I18" s="37"/>
      <c r="J18" s="2"/>
      <c r="K18" s="2"/>
      <c r="L18" s="39"/>
    </row>
    <row r="19" spans="2:12" ht="17.25" customHeight="1">
      <c r="B19" s="37"/>
      <c r="C19" s="2"/>
      <c r="D19" s="39"/>
      <c r="E19" s="37"/>
      <c r="F19" s="2"/>
      <c r="G19" s="2"/>
      <c r="H19" s="39"/>
      <c r="I19" s="37"/>
      <c r="J19" s="2"/>
      <c r="K19" s="2"/>
      <c r="L19" s="39"/>
    </row>
    <row r="20" spans="2:12" ht="17.25" customHeight="1">
      <c r="B20" s="37"/>
      <c r="C20" s="2"/>
      <c r="D20" s="39"/>
      <c r="E20" s="37"/>
      <c r="F20" s="2"/>
      <c r="G20" s="2"/>
      <c r="H20" s="39"/>
      <c r="I20" s="37"/>
      <c r="J20" s="2"/>
      <c r="K20" s="2"/>
      <c r="L20" s="39"/>
    </row>
    <row r="21" spans="2:12" ht="17.25" customHeight="1" thickBot="1">
      <c r="B21" s="40"/>
      <c r="C21" s="41"/>
      <c r="D21" s="44"/>
      <c r="E21" s="40"/>
      <c r="F21" s="41"/>
      <c r="G21" s="41"/>
      <c r="H21" s="44"/>
      <c r="I21" s="40"/>
      <c r="J21" s="41"/>
      <c r="K21" s="41"/>
      <c r="L21" s="44"/>
    </row>
    <row r="22" spans="2:12" ht="17.25" customHeight="1">
      <c r="B22" s="32" t="s">
        <v>102</v>
      </c>
      <c r="C22" s="33"/>
      <c r="D22" s="36"/>
      <c r="E22" s="32" t="s">
        <v>102</v>
      </c>
      <c r="F22" s="33"/>
      <c r="G22" s="33"/>
      <c r="H22" s="36"/>
      <c r="I22" s="32" t="s">
        <v>102</v>
      </c>
      <c r="J22" s="33"/>
      <c r="K22" s="33"/>
      <c r="L22" s="36"/>
    </row>
    <row r="23" spans="2:12" ht="17.25" customHeight="1">
      <c r="B23" s="216" t="s">
        <v>145</v>
      </c>
      <c r="C23" s="217"/>
      <c r="D23" s="218"/>
      <c r="E23" s="216" t="s">
        <v>146</v>
      </c>
      <c r="F23" s="217"/>
      <c r="G23" s="217"/>
      <c r="H23" s="218"/>
      <c r="I23" s="216" t="s">
        <v>147</v>
      </c>
      <c r="J23" s="217"/>
      <c r="K23" s="217"/>
      <c r="L23" s="218"/>
    </row>
    <row r="24" spans="2:12" ht="17.25" customHeight="1">
      <c r="B24" s="216"/>
      <c r="C24" s="217"/>
      <c r="D24" s="218"/>
      <c r="E24" s="216"/>
      <c r="F24" s="217"/>
      <c r="G24" s="217"/>
      <c r="H24" s="218"/>
      <c r="I24" s="216"/>
      <c r="J24" s="217"/>
      <c r="K24" s="217"/>
      <c r="L24" s="218"/>
    </row>
    <row r="25" spans="2:12" ht="17.25" customHeight="1" thickBot="1">
      <c r="B25" s="219"/>
      <c r="C25" s="220"/>
      <c r="D25" s="221"/>
      <c r="E25" s="219"/>
      <c r="F25" s="220"/>
      <c r="G25" s="220"/>
      <c r="H25" s="221"/>
      <c r="I25" s="219"/>
      <c r="J25" s="220"/>
      <c r="K25" s="220"/>
      <c r="L25" s="221"/>
    </row>
    <row r="26" spans="2:12" ht="17.25" customHeight="1">
      <c r="B26" s="99" t="s">
        <v>78</v>
      </c>
    </row>
    <row r="27" spans="2:12" ht="17.25" customHeight="1"/>
    <row r="29" spans="2:12" ht="18.75">
      <c r="B29" s="151" t="s">
        <v>99</v>
      </c>
    </row>
    <row r="30" spans="2:12" ht="15.75" thickBot="1"/>
    <row r="31" spans="2:12">
      <c r="B31" s="94"/>
      <c r="C31" s="80" t="s">
        <v>41</v>
      </c>
      <c r="D31" s="75" t="s">
        <v>35</v>
      </c>
      <c r="E31" s="75" t="s">
        <v>36</v>
      </c>
      <c r="F31" s="75" t="s">
        <v>37</v>
      </c>
      <c r="G31" s="75" t="s">
        <v>38</v>
      </c>
      <c r="H31" s="75" t="s">
        <v>39</v>
      </c>
      <c r="I31" s="75" t="s">
        <v>42</v>
      </c>
      <c r="J31" s="76" t="s">
        <v>74</v>
      </c>
    </row>
    <row r="32" spans="2:12">
      <c r="B32" s="88" t="s">
        <v>57</v>
      </c>
      <c r="C32" s="101" t="str">
        <f>IF(C34&lt;&gt;"",C34/(Dateneingabe!$E$12*1000*Dateneingabe!$D$34)*3600,"")</f>
        <v/>
      </c>
      <c r="D32" s="101">
        <f>IF(D34&lt;&gt;"",D34/(Dateneingabe!$E$12*1000*Dateneingabe!$D$34)*3600,"")</f>
        <v>3.0275579139002988</v>
      </c>
      <c r="E32" s="101">
        <f>IF(E34&lt;&gt;"",E34/(Dateneingabe!$E$12*1000*Dateneingabe!$D$34)*3600,"")</f>
        <v>1.4491113349656812</v>
      </c>
      <c r="F32" s="101">
        <f>IF(F34&lt;&gt;"",F34/(Dateneingabe!$E$12*1000*Dateneingabe!$D$34)*3600,"")</f>
        <v>1.6413811254375741</v>
      </c>
      <c r="G32" s="101">
        <f>IF(G34&lt;&gt;"",G34/(Dateneingabe!$E$12*1000*Dateneingabe!$D$34)*3600,"")</f>
        <v>1.7480198121167485</v>
      </c>
      <c r="H32" s="101">
        <f>IF(H34&lt;&gt;"",H34/(Dateneingabe!$E$12*1000*Dateneingabe!$D$34)*3600,"")</f>
        <v>1.9794397714441765</v>
      </c>
      <c r="I32" s="101" t="str">
        <f>IF(I34&lt;&gt;"",I34/(Dateneingabe!$E$12*1000*Dateneingabe!$D$34)*3600,"")</f>
        <v/>
      </c>
      <c r="J32" s="86"/>
    </row>
    <row r="33" spans="2:10">
      <c r="B33" s="88" t="s">
        <v>64</v>
      </c>
      <c r="C33" s="115" t="str">
        <f>IF(Dateneingabe!E16&lt;&gt;"",Dateneingabe!E16,"")</f>
        <v/>
      </c>
      <c r="D33" s="113">
        <f>IF(Dateneingabe!E17&lt;&gt;"",Dateneingabe!E17,"")</f>
        <v>11</v>
      </c>
      <c r="E33" s="113">
        <f>IF(Dateneingabe!E18&lt;&gt;"",Dateneingabe!E18,"")</f>
        <v>20</v>
      </c>
      <c r="F33" s="113">
        <f>IF(Dateneingabe!E19&lt;&gt;"",Dateneingabe!E19,"")</f>
        <v>20</v>
      </c>
      <c r="G33" s="113">
        <f>IF(Dateneingabe!E20&lt;&gt;"",Dateneingabe!E20,"")</f>
        <v>18</v>
      </c>
      <c r="H33" s="113">
        <f>IF(Dateneingabe!E21&lt;&gt;"",Dateneingabe!E21,"")</f>
        <v>17</v>
      </c>
      <c r="I33" s="114" t="str">
        <f>IF(Dateneingabe!E22&lt;&gt;"",Dateneingabe!E22,"")</f>
        <v/>
      </c>
      <c r="J33" s="86"/>
    </row>
    <row r="34" spans="2:10">
      <c r="B34" s="88" t="s">
        <v>138</v>
      </c>
      <c r="C34" s="101" t="str">
        <f>IF(C33&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4" s="101">
        <f>IF(D33&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4" s="101">
        <f>IF(E33&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4" s="101">
        <f>IF(F33&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4" s="101">
        <f>IF(G33&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4" s="101">
        <f>IF(H33&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4" s="102" t="str">
        <f>IF(I33&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4" s="87"/>
    </row>
    <row r="35" spans="2:10" ht="15.75" thickBot="1">
      <c r="B35" s="93"/>
      <c r="C35" s="90"/>
      <c r="D35" s="91"/>
      <c r="E35" s="91"/>
      <c r="F35" s="91"/>
      <c r="G35" s="91"/>
      <c r="H35" s="91"/>
      <c r="I35" s="92"/>
      <c r="J35" s="93"/>
    </row>
    <row r="36" spans="2:10">
      <c r="B36" s="103" t="s">
        <v>53</v>
      </c>
      <c r="C36" s="149" t="str">
        <f>IF(C43="Laufzeit!","",C42)</f>
        <v/>
      </c>
      <c r="D36" s="149">
        <f>IF(D43="Laufzeit!","",D42)</f>
        <v>154.01132048646235</v>
      </c>
      <c r="E36" s="149">
        <f t="shared" ref="E36:I36" si="0">IF(E43="Laufzeit!","",E42)</f>
        <v>59.566812623180596</v>
      </c>
      <c r="F36" s="149">
        <f t="shared" si="0"/>
        <v>69.719214046883508</v>
      </c>
      <c r="G36" s="149">
        <f t="shared" si="0"/>
        <v>77.074665945989537</v>
      </c>
      <c r="H36" s="149">
        <f t="shared" si="0"/>
        <v>86.10161937450124</v>
      </c>
      <c r="I36" s="149" t="str">
        <f t="shared" si="0"/>
        <v/>
      </c>
      <c r="J36" s="150"/>
    </row>
    <row r="37" spans="2:10">
      <c r="B37" s="88" t="s">
        <v>73</v>
      </c>
      <c r="C37" s="108" t="str">
        <f>IF(C34&lt;&gt;"",Hilfsdaten!$H$23*Wärmepumpe!C33+Hilfsdaten!$I$23,"")</f>
        <v/>
      </c>
      <c r="D37" s="109">
        <f>IF(D34&lt;&gt;"",Hilfsdaten!$H$23*Wärmepumpe!D33+Hilfsdaten!$I$23,"")</f>
        <v>12.954545454545455</v>
      </c>
      <c r="E37" s="109">
        <f>IF(E34&lt;&gt;"",Hilfsdaten!$H$23*Wärmepumpe!E33+Hilfsdaten!$I$23,"")</f>
        <v>18.68181818181818</v>
      </c>
      <c r="F37" s="109">
        <f>IF(F34&lt;&gt;"",Hilfsdaten!$H$23*Wärmepumpe!F33+Hilfsdaten!$I$23,"")</f>
        <v>18.68181818181818</v>
      </c>
      <c r="G37" s="109">
        <f>IF(G34&lt;&gt;"",Hilfsdaten!$H$23*Wärmepumpe!G33+Hilfsdaten!$I$23,"")</f>
        <v>17.40909090909091</v>
      </c>
      <c r="H37" s="109">
        <f>IF(H34&lt;&gt;"",Hilfsdaten!$H$23*Wärmepumpe!H33+Hilfsdaten!$I$23,"")</f>
        <v>16.772727272727273</v>
      </c>
      <c r="I37" s="120" t="str">
        <f>IF(I34&lt;&gt;"",Hilfsdaten!$H$23*Wärmepumpe!I33+Hilfsdaten!$I$23,"")</f>
        <v/>
      </c>
      <c r="J37" s="89"/>
    </row>
    <row r="38" spans="2:10">
      <c r="B38" s="88" t="s">
        <v>61</v>
      </c>
      <c r="C38" s="108" t="str">
        <f>IF(C33&lt;&gt;"",Wärmepumpe!C33*Hilfsdaten!$D$23+Hilfsdaten!$E$23,"")</f>
        <v/>
      </c>
      <c r="D38" s="109">
        <f>IF(D33&lt;&gt;"",Wärmepumpe!D33*Hilfsdaten!$D$23+Hilfsdaten!$E$23,"")</f>
        <v>4.5378090600166718</v>
      </c>
      <c r="E38" s="109">
        <f>IF(E33&lt;&gt;"",Wärmepumpe!E33*Hilfsdaten!$D$23+Hilfsdaten!$E$23,"")</f>
        <v>5.4344265730683308</v>
      </c>
      <c r="F38" s="109">
        <f>IF(F33&lt;&gt;"",Wärmepumpe!F33*Hilfsdaten!$D$23+Hilfsdaten!$E$23,"")</f>
        <v>5.4344265730683308</v>
      </c>
      <c r="G38" s="109">
        <f>IF(G33&lt;&gt;"",Wärmepumpe!G33*Hilfsdaten!$D$23+Hilfsdaten!$E$23,"")</f>
        <v>5.2351782368346287</v>
      </c>
      <c r="H38" s="109">
        <f>IF(H33&lt;&gt;"",Wärmepumpe!H33*Hilfsdaten!$D$23+Hilfsdaten!$E$23,"")</f>
        <v>5.1355540687177772</v>
      </c>
      <c r="I38" s="120" t="str">
        <f>IF(I33&lt;&gt;"",Wärmepumpe!I33*Hilfsdaten!$D$23+Hilfsdaten!$E$23,"")</f>
        <v/>
      </c>
      <c r="J38" s="89"/>
    </row>
    <row r="39" spans="2:10">
      <c r="B39" s="88" t="s">
        <v>79</v>
      </c>
      <c r="C39" s="83" t="str">
        <f>IF(C34&lt;&gt;"",C34/C37,"")</f>
        <v/>
      </c>
      <c r="D39" s="79">
        <f t="shared" ref="D39:I39" si="1">IF(D34&lt;&gt;"",D34/D37,"")</f>
        <v>6.0007752507057379</v>
      </c>
      <c r="E39" s="79">
        <f t="shared" si="1"/>
        <v>1.9916806014578081</v>
      </c>
      <c r="F39" s="79">
        <f t="shared" si="1"/>
        <v>2.2559391181702559</v>
      </c>
      <c r="G39" s="79">
        <f t="shared" si="1"/>
        <v>2.5781449951580542</v>
      </c>
      <c r="H39" s="79">
        <f t="shared" si="1"/>
        <v>3.0302306567741346</v>
      </c>
      <c r="I39" s="121" t="str">
        <f t="shared" si="1"/>
        <v/>
      </c>
      <c r="J39" s="89"/>
    </row>
    <row r="40" spans="2:10">
      <c r="B40" s="88" t="s">
        <v>113</v>
      </c>
      <c r="C40" s="124" t="str">
        <f>IF(C39&lt;&gt;"",C37/C38*C39*30,"")</f>
        <v/>
      </c>
      <c r="D40" s="125">
        <f>IF(D39&lt;&gt;"",D37/D38*D39*31,"")</f>
        <v>531.0617428606156</v>
      </c>
      <c r="E40" s="125">
        <f>IF(E39&lt;&gt;"",E37/E38*E39*30,"")</f>
        <v>205.40280214889862</v>
      </c>
      <c r="F40" s="125">
        <f>IF(F39&lt;&gt;"",F37/F38*F39*31,"")</f>
        <v>240.41108292028795</v>
      </c>
      <c r="G40" s="125">
        <f>IF(G39&lt;&gt;"",G37/G38*G39*31,"")</f>
        <v>265.77471015858464</v>
      </c>
      <c r="H40" s="125">
        <f>IF(H39&lt;&gt;"",H37/H38*H39*30,"")</f>
        <v>296.90213577414221</v>
      </c>
      <c r="I40" s="126" t="str">
        <f>IF(I39&lt;&gt;"",I37/I38*I39*31,"")</f>
        <v/>
      </c>
      <c r="J40" s="122">
        <f>SUM(C40:I40)</f>
        <v>1539.552473862529</v>
      </c>
    </row>
    <row r="41" spans="2:10">
      <c r="B41" s="88" t="s">
        <v>112</v>
      </c>
      <c r="C41" s="124">
        <f>IF(AND(C$32&lt;&gt;"",C39&gt;Dateneingabe!$C$44),(C39-Dateneingabe!$C$44)*Dateneingabe!$E$41*30,0)</f>
        <v>0</v>
      </c>
      <c r="D41" s="125">
        <f>IF(AND(D$32&lt;&gt;"",D39&gt;Dateneingabe!$C$45),(D39-Dateneingabe!$C$45)*Dateneingabe!$E$41*31,0)</f>
        <v>1.1776058220158968E-2</v>
      </c>
      <c r="E41" s="125">
        <f>IF(AND(E$32&lt;&gt;"",E39&gt;Dateneingabe!$C$46),(E39-Dateneingabe!$C$46)*Dateneingabe!$E$41*30,0)</f>
        <v>0</v>
      </c>
      <c r="F41" s="125">
        <f>IF(AND(F$32&lt;&gt;"",F39&gt;Dateneingabe!$C$47),(F39-Dateneingabe!$C$47)*Dateneingabe!$E$41*31,0)</f>
        <v>0</v>
      </c>
      <c r="G41" s="125">
        <f>IF(AND(G$32&lt;&gt;"",G39&gt;Dateneingabe!$C$48),(G39-Dateneingabe!$C$48)*Dateneingabe!$E$41*31,0)</f>
        <v>0</v>
      </c>
      <c r="H41" s="125">
        <f>IF(AND(H$32&lt;&gt;"",H39&gt;Dateneingabe!$C$49),(H39-Dateneingabe!$C$49)*Dateneingabe!$E$41*30,0)</f>
        <v>0</v>
      </c>
      <c r="I41" s="127">
        <f>IF(AND(I$32&lt;&gt;"",I39&gt;Dateneingabe!$C$50),(I39-Dateneingabe!$C$50)*Dateneingabe!$E$41*31,0)</f>
        <v>0</v>
      </c>
      <c r="J41" s="122">
        <f>SUM(C41:I41)</f>
        <v>1.1776058220158968E-2</v>
      </c>
    </row>
    <row r="42" spans="2:10">
      <c r="B42" s="88" t="s">
        <v>110</v>
      </c>
      <c r="C42" s="124" t="str">
        <f>IF(C40&lt;&gt;"",(C40+C41)*Dateneingabe!$D$26,"")</f>
        <v/>
      </c>
      <c r="D42" s="125">
        <f>IF(D40&lt;&gt;"",(D40+D41)*Dateneingabe!$D$26,"")</f>
        <v>154.01132048646235</v>
      </c>
      <c r="E42" s="125">
        <f>IF(E40&lt;&gt;"",(E40+E41)*Dateneingabe!$D$26,"")</f>
        <v>59.566812623180596</v>
      </c>
      <c r="F42" s="125">
        <f>IF(F40&lt;&gt;"",(F40+F41)*Dateneingabe!$D$26,"")</f>
        <v>69.719214046883508</v>
      </c>
      <c r="G42" s="125">
        <f>IF(G40&lt;&gt;"",(G40+G41)*Dateneingabe!$D$26,"")</f>
        <v>77.074665945989537</v>
      </c>
      <c r="H42" s="125">
        <f>IF(H40&lt;&gt;"",(H40+H41)*Dateneingabe!$D$26,"")</f>
        <v>86.10161937450124</v>
      </c>
      <c r="I42" s="127" t="str">
        <f>IF(I40&lt;&gt;"",(I40+I41)*Dateneingabe!$D$26,"")</f>
        <v/>
      </c>
      <c r="J42" s="122">
        <f>SUM(C42:I42)</f>
        <v>446.47363247701725</v>
      </c>
    </row>
    <row r="43" spans="2:10">
      <c r="B43" s="142"/>
      <c r="C43" s="144" t="str">
        <f>IF(AND(C$32&lt;&gt;"",C39&gt;Dateneingabe!$D$44),"Laufzeit!","")</f>
        <v/>
      </c>
      <c r="D43" s="145" t="str">
        <f>IF(AND(D$32&lt;&gt;"",D39&gt;Dateneingabe!$D$45),"Laufzeit!","")</f>
        <v/>
      </c>
      <c r="E43" s="145" t="str">
        <f>IF(AND(E$32&lt;&gt;"",E39&gt;Dateneingabe!$D$46),"Laufzeit!","")</f>
        <v/>
      </c>
      <c r="F43" s="145" t="str">
        <f>IF(AND(F$32&lt;&gt;"",F39&gt;Dateneingabe!$D$47),"Laufzeit!","")</f>
        <v/>
      </c>
      <c r="G43" s="145" t="str">
        <f>IF(AND(G$32&lt;&gt;"",G39&gt;Dateneingabe!$D$48),"Laufzeit!","")</f>
        <v/>
      </c>
      <c r="H43" s="145" t="str">
        <f>IF(AND(H$32&lt;&gt;"",H39&gt;Dateneingabe!$D$49),"Laufzeit!","")</f>
        <v/>
      </c>
      <c r="I43" s="146" t="str">
        <f>IF(AND(I$32&lt;&gt;"",I39&gt;Dateneingabe!$D$50),"Laufzeit!","")</f>
        <v/>
      </c>
      <c r="J43" s="143"/>
    </row>
    <row r="44" spans="2:10" ht="15.75" thickBot="1">
      <c r="B44" s="93"/>
      <c r="C44" s="90"/>
      <c r="D44" s="91"/>
      <c r="E44" s="91"/>
      <c r="F44" s="91"/>
      <c r="G44" s="91"/>
      <c r="H44" s="91"/>
      <c r="I44" s="92"/>
      <c r="J44" s="93"/>
    </row>
    <row r="45" spans="2:10">
      <c r="B45" s="103" t="s">
        <v>54</v>
      </c>
      <c r="C45" s="149" t="str">
        <f>IF(C52="Laufzeit!","",C51)</f>
        <v/>
      </c>
      <c r="D45" s="149">
        <f>IF(D52="Laufzeit!","",D51)</f>
        <v>161.16675141629528</v>
      </c>
      <c r="E45" s="149">
        <f t="shared" ref="E45:I45" si="2">IF(E52="Laufzeit!","",E51)</f>
        <v>57.511625318167702</v>
      </c>
      <c r="F45" s="149">
        <f t="shared" si="2"/>
        <v>67.313746349105912</v>
      </c>
      <c r="G45" s="149">
        <f t="shared" si="2"/>
        <v>75.039316661867403</v>
      </c>
      <c r="H45" s="149">
        <f t="shared" si="2"/>
        <v>84.201404316717145</v>
      </c>
      <c r="I45" s="149" t="str">
        <f t="shared" si="2"/>
        <v/>
      </c>
      <c r="J45" s="150"/>
    </row>
    <row r="46" spans="2:10">
      <c r="B46" s="88" t="s">
        <v>73</v>
      </c>
      <c r="C46" s="108" t="str">
        <f>IF(C34&lt;&gt;"",Hilfsdaten!$H$24*Wärmepumpe!C33+Hilfsdaten!$I$24,"")</f>
        <v/>
      </c>
      <c r="D46" s="109">
        <f>IF(D34&lt;&gt;"",Hilfsdaten!$H$24*Wärmepumpe!D33+Hilfsdaten!$I$24,"")</f>
        <v>10.636363636363637</v>
      </c>
      <c r="E46" s="109">
        <f>IF(E34&lt;&gt;"",Hilfsdaten!$H$24*Wärmepumpe!E33+Hilfsdaten!$I$24,"")</f>
        <v>15.054545454545456</v>
      </c>
      <c r="F46" s="109">
        <f>IF(F34&lt;&gt;"",Hilfsdaten!$H$24*Wärmepumpe!F33+Hilfsdaten!$I$24,"")</f>
        <v>15.054545454545456</v>
      </c>
      <c r="G46" s="109">
        <f>IF(G34&lt;&gt;"",Hilfsdaten!$H$24*Wärmepumpe!G33+Hilfsdaten!$I$24,"")</f>
        <v>14.072727272727274</v>
      </c>
      <c r="H46" s="109">
        <f>IF(H34&lt;&gt;"",Hilfsdaten!$H$24*Wärmepumpe!H33+Hilfsdaten!$I$24,"")</f>
        <v>13.581818181818182</v>
      </c>
      <c r="I46" s="120" t="str">
        <f>IF(I34&lt;&gt;"",Hilfsdaten!$H$24*Wärmepumpe!I33+Hilfsdaten!$I$24,"")</f>
        <v/>
      </c>
      <c r="J46" s="89"/>
    </row>
    <row r="47" spans="2:10">
      <c r="B47" s="88" t="s">
        <v>61</v>
      </c>
      <c r="C47" s="108" t="str">
        <f>IF(C33&lt;&gt;"",Wärmepumpe!C33*Hilfsdaten!$D$24+Hilfsdaten!$E$24,"")</f>
        <v/>
      </c>
      <c r="D47" s="109">
        <f>IF(D33&lt;&gt;"",Wärmepumpe!D33*Hilfsdaten!$D$24+Hilfsdaten!$E$24,"")</f>
        <v>4.4970986460348161</v>
      </c>
      <c r="E47" s="109">
        <f>IF(E33&lt;&gt;"",Wärmepumpe!E33*Hilfsdaten!$D$24+Hilfsdaten!$E$24,"")</f>
        <v>5.6286266924564803</v>
      </c>
      <c r="F47" s="109">
        <f>IF(F33&lt;&gt;"",Wärmepumpe!F33*Hilfsdaten!$D$24+Hilfsdaten!$E$24,"")</f>
        <v>5.6286266924564803</v>
      </c>
      <c r="G47" s="109">
        <f>IF(G33&lt;&gt;"",Wärmepumpe!G33*Hilfsdaten!$D$24+Hilfsdaten!$E$24,"")</f>
        <v>5.3771760154738883</v>
      </c>
      <c r="H47" s="109">
        <f>IF(H33&lt;&gt;"",Wärmepumpe!H33*Hilfsdaten!$D$24+Hilfsdaten!$E$24,"")</f>
        <v>5.2514506769825928</v>
      </c>
      <c r="I47" s="120" t="str">
        <f>IF(I33&lt;&gt;"",Wärmepumpe!I33*Hilfsdaten!$D$24+Hilfsdaten!$E$24,"")</f>
        <v/>
      </c>
      <c r="J47" s="89"/>
    </row>
    <row r="48" spans="2:10">
      <c r="B48" s="88" t="s">
        <v>79</v>
      </c>
      <c r="C48" s="83" t="str">
        <f>IF(C34&lt;&gt;"",C34/C46,"")</f>
        <v/>
      </c>
      <c r="D48" s="79">
        <f t="shared" ref="D48:I48" si="3">IF(D34&lt;&gt;"",D34/D46,"")</f>
        <v>7.3086365232954495</v>
      </c>
      <c r="E48" s="79">
        <f t="shared" si="3"/>
        <v>2.4715601666641271</v>
      </c>
      <c r="F48" s="79">
        <f t="shared" si="3"/>
        <v>2.7994896665699729</v>
      </c>
      <c r="G48" s="79">
        <f t="shared" si="3"/>
        <v>3.1893718770850605</v>
      </c>
      <c r="H48" s="79">
        <f t="shared" si="3"/>
        <v>3.7421523171005884</v>
      </c>
      <c r="I48" s="121" t="str">
        <f t="shared" si="3"/>
        <v/>
      </c>
      <c r="J48" s="89"/>
    </row>
    <row r="49" spans="2:10">
      <c r="B49" s="88" t="s">
        <v>113</v>
      </c>
      <c r="C49" s="124" t="str">
        <f>IF(C48&lt;&gt;"",C46/C47*C48*30,"")</f>
        <v/>
      </c>
      <c r="D49" s="125">
        <f>IF(D48&lt;&gt;"",D46/D47*D48*31,"")</f>
        <v>535.86922988802246</v>
      </c>
      <c r="E49" s="125">
        <f>IF(E48&lt;&gt;"",E46/E47*E48*30,"")</f>
        <v>198.31594937299209</v>
      </c>
      <c r="F49" s="125">
        <f>IF(F48&lt;&gt;"",F46/F47*F48*31,"")</f>
        <v>232.1163667210549</v>
      </c>
      <c r="G49" s="125">
        <f>IF(G48&lt;&gt;"",G46/G47*G48*31,"")</f>
        <v>258.75626435126691</v>
      </c>
      <c r="H49" s="125">
        <f>IF(H48&lt;&gt;"",H46/H47*H48*30,"")</f>
        <v>290.34967005764537</v>
      </c>
      <c r="I49" s="126" t="str">
        <f>IF(I48&lt;&gt;"",I46/I47*I48*31,"")</f>
        <v/>
      </c>
      <c r="J49" s="122">
        <f>SUM(C49:I49)</f>
        <v>1515.4074803909818</v>
      </c>
    </row>
    <row r="50" spans="2:10">
      <c r="B50" s="88" t="s">
        <v>112</v>
      </c>
      <c r="C50" s="124">
        <f>IF(AND(C$32&lt;&gt;"",C48&gt;Dateneingabe!$C$44),(C48-Dateneingabe!$C$44)*Dateneingabe!$E$41*30,0)</f>
        <v>0</v>
      </c>
      <c r="D50" s="125">
        <f>IF(AND(D$32&lt;&gt;"",D48&gt;Dateneingabe!$C$45),(D48-Dateneingabe!$C$45)*Dateneingabe!$E$41*31,0)</f>
        <v>19.87818878885788</v>
      </c>
      <c r="E50" s="125">
        <f>IF(AND(E$32&lt;&gt;"",E48&gt;Dateneingabe!$C$46),(E48-Dateneingabe!$C$46)*Dateneingabe!$E$41*30,0)</f>
        <v>0</v>
      </c>
      <c r="F50" s="125">
        <f>IF(AND(F$32&lt;&gt;"",F48&gt;Dateneingabe!$C$47),(F48-Dateneingabe!$C$47)*Dateneingabe!$E$41*31,0)</f>
        <v>0</v>
      </c>
      <c r="G50" s="125">
        <f>IF(AND(G$32&lt;&gt;"",G48&gt;Dateneingabe!$C$48),(G48-Dateneingabe!$C$48)*Dateneingabe!$E$41*31,0)</f>
        <v>0</v>
      </c>
      <c r="H50" s="125">
        <f>IF(AND(H$32&lt;&gt;"",H48&gt;Dateneingabe!$C$49),(H48-Dateneingabe!$C$49)*Dateneingabe!$E$41*30,0)</f>
        <v>0</v>
      </c>
      <c r="I50" s="127">
        <f>IF(AND(I$32&lt;&gt;"",I48&gt;Dateneingabe!$C$50),(I48-Dateneingabe!$C$50)*Dateneingabe!$E$41*31,0)</f>
        <v>0</v>
      </c>
      <c r="J50" s="122">
        <f>SUM(C50:I50)</f>
        <v>19.87818878885788</v>
      </c>
    </row>
    <row r="51" spans="2:10">
      <c r="B51" s="88" t="s">
        <v>110</v>
      </c>
      <c r="C51" s="124" t="str">
        <f>IF(C49&lt;&gt;"",(C49+C50)*Dateneingabe!$D$26,"")</f>
        <v/>
      </c>
      <c r="D51" s="125">
        <f>IF(D49&lt;&gt;"",(D49+D50)*Dateneingabe!$D$26,"")</f>
        <v>161.16675141629528</v>
      </c>
      <c r="E51" s="125">
        <f>IF(E49&lt;&gt;"",(E49+E50)*Dateneingabe!$D$26,"")</f>
        <v>57.511625318167702</v>
      </c>
      <c r="F51" s="125">
        <f>IF(F49&lt;&gt;"",(F49+F50)*Dateneingabe!$D$26,"")</f>
        <v>67.313746349105912</v>
      </c>
      <c r="G51" s="125">
        <f>IF(G49&lt;&gt;"",(G49+G50)*Dateneingabe!$D$26,"")</f>
        <v>75.039316661867403</v>
      </c>
      <c r="H51" s="125">
        <f>IF(H49&lt;&gt;"",(H49+H50)*Dateneingabe!$D$26,"")</f>
        <v>84.201404316717145</v>
      </c>
      <c r="I51" s="127" t="str">
        <f>IF(I49&lt;&gt;"",(I49+I50)*Dateneingabe!$D$26,"")</f>
        <v/>
      </c>
      <c r="J51" s="122">
        <f>SUM(C51:I51)</f>
        <v>445.2328440621535</v>
      </c>
    </row>
    <row r="52" spans="2:10">
      <c r="B52" s="142"/>
      <c r="C52" s="144" t="str">
        <f>IF(AND(C$32&lt;&gt;"",C48&gt;Dateneingabe!$D$44),"Laufzeit!","")</f>
        <v/>
      </c>
      <c r="D52" s="145" t="str">
        <f>IF(AND(D$32&lt;&gt;"",D48&gt;Dateneingabe!$D$45),"Laufzeit!","")</f>
        <v/>
      </c>
      <c r="E52" s="145" t="str">
        <f>IF(AND(E$32&lt;&gt;"",E48&gt;Dateneingabe!$D$46),"Laufzeit!","")</f>
        <v/>
      </c>
      <c r="F52" s="145" t="str">
        <f>IF(AND(F$32&lt;&gt;"",F48&gt;Dateneingabe!$D$47),"Laufzeit!","")</f>
        <v/>
      </c>
      <c r="G52" s="145" t="str">
        <f>IF(AND(G$32&lt;&gt;"",G48&gt;Dateneingabe!$D$48),"Laufzeit!","")</f>
        <v/>
      </c>
      <c r="H52" s="145" t="str">
        <f>IF(AND(H$32&lt;&gt;"",H48&gt;Dateneingabe!$D$49),"Laufzeit!","")</f>
        <v/>
      </c>
      <c r="I52" s="146" t="str">
        <f>IF(AND(I$32&lt;&gt;"",I48&gt;Dateneingabe!$D$50),"Laufzeit!","")</f>
        <v/>
      </c>
      <c r="J52" s="143"/>
    </row>
    <row r="53" spans="2:10" ht="15.75" thickBot="1">
      <c r="B53" s="93"/>
      <c r="C53" s="90"/>
      <c r="D53" s="91"/>
      <c r="E53" s="91"/>
      <c r="F53" s="91"/>
      <c r="G53" s="91"/>
      <c r="H53" s="91"/>
      <c r="I53" s="92"/>
      <c r="J53" s="93"/>
    </row>
    <row r="54" spans="2:10">
      <c r="B54" s="103" t="s">
        <v>55</v>
      </c>
      <c r="C54" s="149" t="str">
        <f>IF(C61="Laufzeit!","",C60)</f>
        <v/>
      </c>
      <c r="D54" s="149">
        <f>IF(D61="Laufzeit!","",D60)</f>
        <v>160.00292549187284</v>
      </c>
      <c r="E54" s="149">
        <f t="shared" ref="E54:I54" si="4">IF(E61="Laufzeit!","",E60)</f>
        <v>57.738824403454672</v>
      </c>
      <c r="F54" s="149">
        <f t="shared" si="4"/>
        <v>67.579668612876901</v>
      </c>
      <c r="G54" s="149">
        <f t="shared" si="4"/>
        <v>74.580395106751425</v>
      </c>
      <c r="H54" s="149">
        <f t="shared" si="4"/>
        <v>83.239173522565068</v>
      </c>
      <c r="I54" s="149" t="str">
        <f t="shared" si="4"/>
        <v/>
      </c>
      <c r="J54" s="150"/>
    </row>
    <row r="55" spans="2:10">
      <c r="B55" s="88" t="s">
        <v>73</v>
      </c>
      <c r="C55" s="108" t="str">
        <f>IF(C34&lt;&gt;"",Hilfsdaten!$H$25*Wärmepumpe!C33+Hilfsdaten!$I$25,"")</f>
        <v/>
      </c>
      <c r="D55" s="109">
        <f>IF(D34&lt;&gt;"",Hilfsdaten!$H$25*Wärmepumpe!D33+Hilfsdaten!$I$25,"")</f>
        <v>8.8990909090909067</v>
      </c>
      <c r="E55" s="109">
        <f>IF(E34&lt;&gt;"",Hilfsdaten!$H$25*Wärmepumpe!E33+Hilfsdaten!$I$25,"")</f>
        <v>12.703636363636361</v>
      </c>
      <c r="F55" s="109">
        <f>IF(F34&lt;&gt;"",Hilfsdaten!$H$25*Wärmepumpe!F33+Hilfsdaten!$I$25,"")</f>
        <v>12.703636363636361</v>
      </c>
      <c r="G55" s="109">
        <f>IF(G34&lt;&gt;"",Hilfsdaten!$H$25*Wärmepumpe!G33+Hilfsdaten!$I$25,"")</f>
        <v>11.858181818181816</v>
      </c>
      <c r="H55" s="109">
        <f>IF(H34&lt;&gt;"",Hilfsdaten!$H$25*Wärmepumpe!H33+Hilfsdaten!$I$25,"")</f>
        <v>11.435454545454544</v>
      </c>
      <c r="I55" s="120" t="str">
        <f>IF(I34&lt;&gt;"",Hilfsdaten!$H$25*Wärmepumpe!I33+Hilfsdaten!$I$25,"")</f>
        <v/>
      </c>
      <c r="J55" s="89"/>
    </row>
    <row r="56" spans="2:10">
      <c r="B56" s="88" t="s">
        <v>61</v>
      </c>
      <c r="C56" s="108" t="str">
        <f>IF(C33&lt;&gt;"",Wärmepumpe!C33*Hilfsdaten!$D$25+Hilfsdaten!$E$25,"")</f>
        <v/>
      </c>
      <c r="D56" s="109">
        <f>IF(D33&lt;&gt;"",Wärmepumpe!D33*Hilfsdaten!$D$25+Hilfsdaten!$E$25,"")</f>
        <v>4.7235129663549609</v>
      </c>
      <c r="E56" s="109">
        <f>IF(E33&lt;&gt;"",Wärmepumpe!E33*Hilfsdaten!$D$25+Hilfsdaten!$E$25,"")</f>
        <v>5.6064783572736916</v>
      </c>
      <c r="F56" s="109">
        <f>IF(F33&lt;&gt;"",Wärmepumpe!F33*Hilfsdaten!$D$25+Hilfsdaten!$E$25,"")</f>
        <v>5.6064783572736916</v>
      </c>
      <c r="G56" s="109">
        <f>IF(G33&lt;&gt;"",Wärmepumpe!G33*Hilfsdaten!$D$25+Hilfsdaten!$E$25,"")</f>
        <v>5.4102638259584186</v>
      </c>
      <c r="H56" s="109">
        <f>IF(H33&lt;&gt;"",Wärmepumpe!H33*Hilfsdaten!$D$25+Hilfsdaten!$E$25,"")</f>
        <v>5.3121565603007816</v>
      </c>
      <c r="I56" s="120" t="str">
        <f>IF(I33&lt;&gt;"",Wärmepumpe!I33*Hilfsdaten!$D$25+Hilfsdaten!$E$25,"")</f>
        <v/>
      </c>
      <c r="J56" s="89"/>
    </row>
    <row r="57" spans="2:10">
      <c r="B57" s="88" t="s">
        <v>79</v>
      </c>
      <c r="C57" s="83" t="str">
        <f>IF(C34&lt;&gt;"",C34/C55,"")</f>
        <v/>
      </c>
      <c r="D57" s="79">
        <f t="shared" ref="D57:I57" si="5">IF(D34&lt;&gt;"",D34/D55,"")</f>
        <v>8.7354221393969542</v>
      </c>
      <c r="E57" s="79">
        <f t="shared" si="5"/>
        <v>2.9289420609673651</v>
      </c>
      <c r="F57" s="79">
        <f t="shared" si="5"/>
        <v>3.3175575267209649</v>
      </c>
      <c r="G57" s="79">
        <f t="shared" si="5"/>
        <v>3.7849951439187941</v>
      </c>
      <c r="H57" s="79">
        <f t="shared" si="5"/>
        <v>4.4445310133939735</v>
      </c>
      <c r="I57" s="121" t="str">
        <f t="shared" si="5"/>
        <v/>
      </c>
      <c r="J57" s="89"/>
    </row>
    <row r="58" spans="2:10">
      <c r="B58" s="88" t="s">
        <v>113</v>
      </c>
      <c r="C58" s="124" t="str">
        <f>IF(C57&lt;&gt;"",C55/C56*C57*30,"")</f>
        <v/>
      </c>
      <c r="D58" s="125">
        <f>IF(D57&lt;&gt;"",D55/D56*D57*31,"")</f>
        <v>510.18316353660458</v>
      </c>
      <c r="E58" s="125">
        <f>IF(E57&lt;&gt;"",E55/E56*E57*30,"")</f>
        <v>199.09939449467129</v>
      </c>
      <c r="F58" s="125">
        <f>IF(F57&lt;&gt;"",F55/F56*F57*31,"")</f>
        <v>233.0333400444031</v>
      </c>
      <c r="G58" s="125">
        <f>IF(G57&lt;&gt;"",G55/G56*G57*31,"")</f>
        <v>257.17377623017734</v>
      </c>
      <c r="H58" s="125">
        <f>IF(H57&lt;&gt;"",H55/H56*H57*30,"")</f>
        <v>287.0316328364313</v>
      </c>
      <c r="I58" s="126" t="str">
        <f>IF(I57&lt;&gt;"",I55/I56*I57*31,"")</f>
        <v/>
      </c>
      <c r="J58" s="122">
        <f>SUM(C58:I58)</f>
        <v>1486.5213071422875</v>
      </c>
    </row>
    <row r="59" spans="2:10">
      <c r="B59" s="88" t="s">
        <v>112</v>
      </c>
      <c r="C59" s="124">
        <f>IF(AND(C$32&lt;&gt;"",C57&gt;Dateneingabe!$C$44),(C57-Dateneingabe!$C$44)*Dateneingabe!$E$41*30,0)</f>
        <v>0</v>
      </c>
      <c r="D59" s="125">
        <f>IF(AND(D$32&lt;&gt;"",D57&gt;Dateneingabe!$C$45),(D57-Dateneingabe!$C$45)*Dateneingabe!$E$41*31,0)</f>
        <v>41.551062297439735</v>
      </c>
      <c r="E59" s="125">
        <f>IF(AND(E$32&lt;&gt;"",E57&gt;Dateneingabe!$C$46),(E57-Dateneingabe!$C$46)*Dateneingabe!$E$41*30,0)</f>
        <v>0</v>
      </c>
      <c r="F59" s="125">
        <f>IF(AND(F$32&lt;&gt;"",F57&gt;Dateneingabe!$C$47),(F57-Dateneingabe!$C$47)*Dateneingabe!$E$41*31,0)</f>
        <v>0</v>
      </c>
      <c r="G59" s="125">
        <f>IF(AND(G$32&lt;&gt;"",G57&gt;Dateneingabe!$C$48),(G57-Dateneingabe!$C$48)*Dateneingabe!$E$41*31,0)</f>
        <v>0</v>
      </c>
      <c r="H59" s="125">
        <f>IF(AND(H$32&lt;&gt;"",H57&gt;Dateneingabe!$C$49),(H57-Dateneingabe!$C$49)*Dateneingabe!$E$41*30,0)</f>
        <v>0</v>
      </c>
      <c r="I59" s="127">
        <f>IF(AND(I$32&lt;&gt;"",I57&gt;Dateneingabe!$C$50),(I57-Dateneingabe!$C$50)*Dateneingabe!$E$41*31,0)</f>
        <v>0</v>
      </c>
      <c r="J59" s="122">
        <f>SUM(C59:I59)</f>
        <v>41.551062297439735</v>
      </c>
    </row>
    <row r="60" spans="2:10">
      <c r="B60" s="88" t="s">
        <v>110</v>
      </c>
      <c r="C60" s="124" t="str">
        <f>IF(C58&lt;&gt;"",(C58+C59)*Dateneingabe!$D$26,"")</f>
        <v/>
      </c>
      <c r="D60" s="125">
        <f>IF(D58&lt;&gt;"",(D58+D59)*Dateneingabe!$D$26,"")</f>
        <v>160.00292549187284</v>
      </c>
      <c r="E60" s="125">
        <f>IF(E58&lt;&gt;"",(E58+E59)*Dateneingabe!$D$26,"")</f>
        <v>57.738824403454672</v>
      </c>
      <c r="F60" s="125">
        <f>IF(F58&lt;&gt;"",(F58+F59)*Dateneingabe!$D$26,"")</f>
        <v>67.579668612876901</v>
      </c>
      <c r="G60" s="125">
        <f>IF(G58&lt;&gt;"",(G58+G59)*Dateneingabe!$D$26,"")</f>
        <v>74.580395106751425</v>
      </c>
      <c r="H60" s="125">
        <f>IF(H58&lt;&gt;"",(H58+H59)*Dateneingabe!$D$26,"")</f>
        <v>83.239173522565068</v>
      </c>
      <c r="I60" s="127" t="str">
        <f>IF(I58&lt;&gt;"",(I58+I59)*Dateneingabe!$D$26,"")</f>
        <v/>
      </c>
      <c r="J60" s="123">
        <f>SUM(C60:I60)</f>
        <v>443.14098713752094</v>
      </c>
    </row>
    <row r="61" spans="2:10">
      <c r="B61" s="142"/>
      <c r="C61" s="144" t="str">
        <f>IF(AND(C$32&lt;&gt;"",C57&gt;Dateneingabe!$D$44),"Laufzeit!","")</f>
        <v/>
      </c>
      <c r="D61" s="145" t="str">
        <f>IF(AND(D$32&lt;&gt;"",D57&gt;Dateneingabe!$D$45),"Laufzeit!","")</f>
        <v/>
      </c>
      <c r="E61" s="145" t="str">
        <f>IF(AND(E$32&lt;&gt;"",E57&gt;Dateneingabe!$D$46),"Laufzeit!","")</f>
        <v/>
      </c>
      <c r="F61" s="145" t="str">
        <f>IF(AND(F$32&lt;&gt;"",F57&gt;Dateneingabe!$D$47),"Laufzeit!","")</f>
        <v/>
      </c>
      <c r="G61" s="145" t="str">
        <f>IF(AND(G$32&lt;&gt;"",G57&gt;Dateneingabe!$D$48),"Laufzeit!","")</f>
        <v/>
      </c>
      <c r="H61" s="145" t="str">
        <f>IF(AND(H$32&lt;&gt;"",H57&gt;Dateneingabe!$D$49),"Laufzeit!","")</f>
        <v/>
      </c>
      <c r="I61" s="146" t="str">
        <f>IF(AND(I$32&lt;&gt;"",I57&gt;Dateneingabe!$D$50),"Laufzeit!","")</f>
        <v/>
      </c>
      <c r="J61" s="143"/>
    </row>
    <row r="62" spans="2:10" ht="15.75" thickBot="1">
      <c r="B62" s="93"/>
      <c r="C62" s="90"/>
      <c r="D62" s="91"/>
      <c r="E62" s="91"/>
      <c r="F62" s="91"/>
      <c r="G62" s="91"/>
      <c r="H62" s="91"/>
      <c r="I62" s="92"/>
      <c r="J62" s="93"/>
    </row>
    <row r="63" spans="2:10">
      <c r="B63" s="99" t="s">
        <v>80</v>
      </c>
      <c r="C63" s="99" t="s">
        <v>111</v>
      </c>
    </row>
    <row r="64" spans="2:10" ht="15.75" thickBot="1">
      <c r="B64" s="99"/>
    </row>
    <row r="65" spans="2:16">
      <c r="B65" s="103" t="s">
        <v>105</v>
      </c>
      <c r="C65" s="104"/>
      <c r="D65" s="105"/>
      <c r="E65" s="105"/>
      <c r="F65" s="105"/>
      <c r="G65" s="105"/>
      <c r="H65" s="105"/>
      <c r="I65" s="106"/>
      <c r="J65" s="107"/>
      <c r="K65" s="152"/>
      <c r="L65" s="153"/>
      <c r="M65" s="207" t="s">
        <v>115</v>
      </c>
      <c r="N65" s="208"/>
      <c r="O65" s="208"/>
      <c r="P65" s="209"/>
    </row>
    <row r="66" spans="2:16">
      <c r="B66" s="88" t="s">
        <v>73</v>
      </c>
      <c r="C66" s="108" t="str">
        <f>IF(NOT(ISNA(HLOOKUP(C71,$C$36:$I$43,2,FALSE))),HLOOKUP(C71,$C$36:$I$43,2,FALSE),IF(NOT(ISNA(HLOOKUP(C71,$C$45:$I$52,2,FALSE))),HLOOKUP(C71,$C$45:$I$52,2,FALSE),HLOOKUP(C71,$C$54:$I$61,2,FALSE)))</f>
        <v/>
      </c>
      <c r="D66" s="109">
        <f>IF(NOT(ISNA(HLOOKUP(D71,$C$36:$I$43,2,FALSE))),HLOOKUP(D71,$C$36:$I$43,2,FALSE),IF(NOT(ISNA(HLOOKUP(D71,$C$45:$I$52,2,FALSE))),HLOOKUP(D71,$C$45:$I$52,2,FALSE),HLOOKUP(D71,$C$54:$I$61,2,FALSE)))</f>
        <v>12.954545454545455</v>
      </c>
      <c r="E66" s="109">
        <f t="shared" ref="E66:I66" si="6">IF(NOT(ISNA(HLOOKUP(E71,$C$36:$I$43,2,FALSE))),HLOOKUP(E71,$C$36:$I$43,2,FALSE),IF(NOT(ISNA(HLOOKUP(E71,$C$45:$I$52,2,FALSE))),HLOOKUP(E71,$C$45:$I$52,2,FALSE),HLOOKUP(E71,$C$54:$I$61,2,FALSE)))</f>
        <v>15.054545454545456</v>
      </c>
      <c r="F66" s="109">
        <f t="shared" si="6"/>
        <v>15.054545454545456</v>
      </c>
      <c r="G66" s="109">
        <f t="shared" si="6"/>
        <v>11.858181818181816</v>
      </c>
      <c r="H66" s="109">
        <f t="shared" si="6"/>
        <v>11.435454545454544</v>
      </c>
      <c r="I66" s="120" t="str">
        <f t="shared" si="6"/>
        <v/>
      </c>
      <c r="J66" s="89"/>
      <c r="K66" s="152"/>
      <c r="L66" s="153"/>
      <c r="M66" s="210"/>
      <c r="N66" s="211"/>
      <c r="O66" s="211"/>
      <c r="P66" s="212"/>
    </row>
    <row r="67" spans="2:16">
      <c r="B67" s="88" t="s">
        <v>61</v>
      </c>
      <c r="C67" s="108" t="str">
        <f t="shared" ref="C67:I67" si="7">IF(NOT(ISNA(HLOOKUP(C71,$C$36:$I$43,3,FALSE))),HLOOKUP(C71,$C$36:$I$43,3,FALSE),IF(NOT(ISNA(HLOOKUP(C71,$C$45:$I$52,3,FALSE))),HLOOKUP(C71,$C$45:$I$52,3,FALSE),HLOOKUP(C71,$C$54:$I$61,3,FALSE)))</f>
        <v/>
      </c>
      <c r="D67" s="109">
        <f t="shared" si="7"/>
        <v>4.5378090600166718</v>
      </c>
      <c r="E67" s="109">
        <f t="shared" si="7"/>
        <v>5.6286266924564803</v>
      </c>
      <c r="F67" s="109">
        <f t="shared" si="7"/>
        <v>5.6286266924564803</v>
      </c>
      <c r="G67" s="109">
        <f t="shared" si="7"/>
        <v>5.4102638259584186</v>
      </c>
      <c r="H67" s="109">
        <f t="shared" si="7"/>
        <v>5.3121565603007816</v>
      </c>
      <c r="I67" s="120" t="str">
        <f t="shared" si="7"/>
        <v/>
      </c>
      <c r="J67" s="89"/>
      <c r="K67" s="152"/>
      <c r="L67" s="153"/>
      <c r="M67" s="210"/>
      <c r="N67" s="211"/>
      <c r="O67" s="211"/>
      <c r="P67" s="212"/>
    </row>
    <row r="68" spans="2:16">
      <c r="B68" s="88" t="s">
        <v>79</v>
      </c>
      <c r="C68" s="83" t="str">
        <f t="shared" ref="C68:I68" si="8">IF(NOT(ISNA(HLOOKUP(C71,$C$36:$I$43,4,FALSE))),HLOOKUP(C71,$C$36:$I$43,4,FALSE),IF(NOT(ISNA(HLOOKUP(C71,$C$45:$I$52,4,FALSE))),HLOOKUP(C71,$C$45:$I$52,4,FALSE),HLOOKUP(C71,$C$54:$I$61,4,FALSE)))</f>
        <v/>
      </c>
      <c r="D68" s="79">
        <f t="shared" si="8"/>
        <v>6.0007752507057379</v>
      </c>
      <c r="E68" s="79">
        <f t="shared" si="8"/>
        <v>2.4715601666641271</v>
      </c>
      <c r="F68" s="79">
        <f t="shared" si="8"/>
        <v>2.7994896665699729</v>
      </c>
      <c r="G68" s="79">
        <f t="shared" si="8"/>
        <v>3.7849951439187941</v>
      </c>
      <c r="H68" s="79">
        <f t="shared" si="8"/>
        <v>4.4445310133939735</v>
      </c>
      <c r="I68" s="121" t="str">
        <f t="shared" si="8"/>
        <v/>
      </c>
      <c r="J68" s="89"/>
      <c r="K68" s="152"/>
      <c r="L68" s="153"/>
      <c r="M68" s="210"/>
      <c r="N68" s="211"/>
      <c r="O68" s="211"/>
      <c r="P68" s="212"/>
    </row>
    <row r="69" spans="2:16">
      <c r="B69" s="88" t="s">
        <v>113</v>
      </c>
      <c r="C69" s="124" t="str">
        <f t="shared" ref="C69:I69" si="9">IF(NOT(ISNA(HLOOKUP(C71,$C$36:$I$43,5,FALSE))),HLOOKUP(C71,$C$36:$I$43,5,FALSE),IF(NOT(ISNA(HLOOKUP(C71,$C$45:$I$52,5,FALSE))),HLOOKUP(C71,$C$45:$I$52,5,FALSE),HLOOKUP(C71,$C$54:$I$61,5,FALSE)))</f>
        <v/>
      </c>
      <c r="D69" s="125">
        <f t="shared" si="9"/>
        <v>531.0617428606156</v>
      </c>
      <c r="E69" s="125">
        <f t="shared" si="9"/>
        <v>198.31594937299209</v>
      </c>
      <c r="F69" s="125">
        <f t="shared" si="9"/>
        <v>232.1163667210549</v>
      </c>
      <c r="G69" s="125">
        <f t="shared" si="9"/>
        <v>257.17377623017734</v>
      </c>
      <c r="H69" s="125">
        <f t="shared" si="9"/>
        <v>287.0316328364313</v>
      </c>
      <c r="I69" s="127" t="str">
        <f t="shared" si="9"/>
        <v/>
      </c>
      <c r="J69" s="122">
        <f>SUM(C69:I69)</f>
        <v>1505.6994680212713</v>
      </c>
      <c r="K69" s="152"/>
      <c r="L69" s="153"/>
      <c r="M69" s="210"/>
      <c r="N69" s="211"/>
      <c r="O69" s="211"/>
      <c r="P69" s="212"/>
    </row>
    <row r="70" spans="2:16">
      <c r="B70" s="88" t="s">
        <v>112</v>
      </c>
      <c r="C70" s="124">
        <f t="shared" ref="C70:I70" si="10">IF(NOT(ISNA(HLOOKUP(C71,$C$36:$I$43,6,FALSE))),HLOOKUP(C71,$C$36:$I$43,6,FALSE),IF(NOT(ISNA(HLOOKUP(C71,$C$45:$I$52,6,FALSE))),HLOOKUP(C71,$C$45:$I$52,6,FALSE),HLOOKUP(C71,$C$54:$I$61,6,FALSE)))</f>
        <v>0</v>
      </c>
      <c r="D70" s="125">
        <f t="shared" si="10"/>
        <v>1.1776058220158968E-2</v>
      </c>
      <c r="E70" s="125">
        <f t="shared" si="10"/>
        <v>0</v>
      </c>
      <c r="F70" s="125">
        <f t="shared" si="10"/>
        <v>0</v>
      </c>
      <c r="G70" s="125">
        <f t="shared" si="10"/>
        <v>0</v>
      </c>
      <c r="H70" s="125">
        <f t="shared" si="10"/>
        <v>0</v>
      </c>
      <c r="I70" s="127">
        <f t="shared" si="10"/>
        <v>0</v>
      </c>
      <c r="J70" s="122">
        <f>SUM(C70:I70)</f>
        <v>1.1776058220158968E-2</v>
      </c>
      <c r="K70" s="152"/>
      <c r="L70" s="153"/>
      <c r="M70" s="210"/>
      <c r="N70" s="211"/>
      <c r="O70" s="211"/>
      <c r="P70" s="212"/>
    </row>
    <row r="71" spans="2:16">
      <c r="B71" s="88" t="s">
        <v>110</v>
      </c>
      <c r="C71" s="124" t="str">
        <f>IF(MIN(C36,C45,C54)=0,"",MIN(C36,C45,C54))</f>
        <v/>
      </c>
      <c r="D71" s="125">
        <f t="shared" ref="D71:I71" si="11">IF(MIN(D36,D45,D54)=0,"",MIN(D36,D45,D54))</f>
        <v>154.01132048646235</v>
      </c>
      <c r="E71" s="125">
        <f t="shared" si="11"/>
        <v>57.511625318167702</v>
      </c>
      <c r="F71" s="125">
        <f t="shared" si="11"/>
        <v>67.313746349105912</v>
      </c>
      <c r="G71" s="125">
        <f t="shared" si="11"/>
        <v>74.580395106751425</v>
      </c>
      <c r="H71" s="125">
        <f t="shared" si="11"/>
        <v>83.239173522565068</v>
      </c>
      <c r="I71" s="127" t="str">
        <f t="shared" si="11"/>
        <v/>
      </c>
      <c r="J71" s="123">
        <f>SUM(C71:I71)</f>
        <v>436.65626078305246</v>
      </c>
      <c r="K71" s="152"/>
      <c r="L71" s="153"/>
      <c r="M71" s="210"/>
      <c r="N71" s="211"/>
      <c r="O71" s="211"/>
      <c r="P71" s="212"/>
    </row>
    <row r="72" spans="2:16" ht="15.75" thickBot="1">
      <c r="B72" s="93"/>
      <c r="C72" s="90"/>
      <c r="D72" s="91"/>
      <c r="E72" s="91"/>
      <c r="F72" s="91"/>
      <c r="G72" s="91"/>
      <c r="H72" s="91"/>
      <c r="I72" s="147"/>
      <c r="J72" s="93"/>
      <c r="K72" s="152"/>
      <c r="L72" s="153"/>
      <c r="M72" s="213"/>
      <c r="N72" s="214"/>
      <c r="O72" s="214"/>
      <c r="P72" s="215"/>
    </row>
    <row r="73" spans="2:16">
      <c r="B73" s="99" t="s">
        <v>80</v>
      </c>
      <c r="C73" s="99" t="s">
        <v>111</v>
      </c>
    </row>
    <row r="74" spans="2:16">
      <c r="B74" s="2"/>
      <c r="C74" s="2"/>
      <c r="D74" s="2"/>
      <c r="E74" s="2"/>
      <c r="F74" s="2"/>
      <c r="G74" s="2"/>
      <c r="H74" s="2"/>
      <c r="I74" s="2"/>
      <c r="J74" s="2"/>
    </row>
    <row r="75" spans="2:16" ht="17.25" customHeight="1">
      <c r="B75" s="151" t="s">
        <v>98</v>
      </c>
    </row>
    <row r="76" spans="2:16" ht="17.25" customHeight="1" thickBot="1"/>
    <row r="77" spans="2:16" ht="17.25" customHeight="1">
      <c r="B77" s="94"/>
      <c r="C77" s="80" t="s">
        <v>41</v>
      </c>
      <c r="D77" s="75" t="s">
        <v>35</v>
      </c>
      <c r="E77" s="75" t="s">
        <v>36</v>
      </c>
      <c r="F77" s="75" t="s">
        <v>37</v>
      </c>
      <c r="G77" s="75" t="s">
        <v>38</v>
      </c>
      <c r="H77" s="75" t="s">
        <v>39</v>
      </c>
      <c r="I77" s="75" t="s">
        <v>42</v>
      </c>
      <c r="J77" s="76" t="s">
        <v>74</v>
      </c>
    </row>
    <row r="78" spans="2:16" ht="17.25" customHeight="1">
      <c r="B78" s="88" t="s">
        <v>57</v>
      </c>
      <c r="C78" s="81">
        <v>4</v>
      </c>
      <c r="D78" s="77">
        <v>3</v>
      </c>
      <c r="E78" s="77">
        <v>1.5</v>
      </c>
      <c r="F78" s="77">
        <v>1.5</v>
      </c>
      <c r="G78" s="77">
        <v>2</v>
      </c>
      <c r="H78" s="77">
        <v>2</v>
      </c>
      <c r="I78" s="84">
        <v>3</v>
      </c>
      <c r="J78" s="86"/>
    </row>
    <row r="79" spans="2:16" ht="17.25" customHeight="1">
      <c r="B79" s="88" t="s">
        <v>64</v>
      </c>
      <c r="C79" s="82" t="str">
        <f>IF(Dateneingabe!E16&lt;&gt;"",Dateneingabe!E16,"")</f>
        <v/>
      </c>
      <c r="D79" s="78">
        <f>IF(Dateneingabe!E17&lt;&gt;"",Dateneingabe!E17,"")</f>
        <v>11</v>
      </c>
      <c r="E79" s="78">
        <f>IF(Dateneingabe!E18&lt;&gt;"",Dateneingabe!E18,"")</f>
        <v>20</v>
      </c>
      <c r="F79" s="78">
        <f>IF(Dateneingabe!E19&lt;&gt;"",Dateneingabe!E19,"")</f>
        <v>20</v>
      </c>
      <c r="G79" s="78">
        <f>IF(Dateneingabe!E20&lt;&gt;"",Dateneingabe!E20,"")</f>
        <v>18</v>
      </c>
      <c r="H79" s="78">
        <f>IF(Dateneingabe!E21&lt;&gt;"",Dateneingabe!E21,"")</f>
        <v>17</v>
      </c>
      <c r="I79" s="85" t="str">
        <f>IF(Dateneingabe!E22&lt;&gt;"",Dateneingabe!E22,"")</f>
        <v/>
      </c>
      <c r="J79" s="86"/>
    </row>
    <row r="80" spans="2:16" ht="17.25" customHeight="1">
      <c r="B80" s="88" t="s">
        <v>58</v>
      </c>
      <c r="C80" s="100" t="str">
        <f>IF(C79&lt;&gt;"",Dateneingabe!$E$12*1000*Dateneingabe!$D$34*Wärmepumpe!C78/3600,"")</f>
        <v/>
      </c>
      <c r="D80" s="101">
        <f>IF(D79&lt;&gt;"",Dateneingabe!$E$12*1000*Dateneingabe!$D$34*Wärmepumpe!D78/3600,"")</f>
        <v>77.029722923746704</v>
      </c>
      <c r="E80" s="101">
        <f>IF(E79&lt;&gt;"",Dateneingabe!$E$12*1000*Dateneingabe!$D$34*Wärmepumpe!E78/3600,"")</f>
        <v>38.514861461873352</v>
      </c>
      <c r="F80" s="101">
        <f>IF(F79&lt;&gt;"",Dateneingabe!$E$12*1000*Dateneingabe!$D$34*Wärmepumpe!F78/3600,"")</f>
        <v>38.514861461873352</v>
      </c>
      <c r="G80" s="101">
        <f>IF(G79&lt;&gt;"",Dateneingabe!$E$12*1000*Dateneingabe!$D$34*Wärmepumpe!G78/3600,"")</f>
        <v>51.353148615831145</v>
      </c>
      <c r="H80" s="101">
        <f>IF(H79&lt;&gt;"",Dateneingabe!$E$12*1000*Dateneingabe!$D$34*Wärmepumpe!H78/3600,"")</f>
        <v>51.353148615831145</v>
      </c>
      <c r="I80" s="102" t="str">
        <f>IF(I79&lt;&gt;"",Dateneingabe!$E$12*1000*Dateneingabe!$D$34*Wärmepumpe!I78/3600,"")</f>
        <v/>
      </c>
      <c r="J80" s="87"/>
    </row>
    <row r="81" spans="2:10" ht="17.25" customHeight="1" thickBot="1">
      <c r="B81" s="93"/>
      <c r="C81" s="90"/>
      <c r="D81" s="91"/>
      <c r="E81" s="91"/>
      <c r="F81" s="91"/>
      <c r="G81" s="91"/>
      <c r="H81" s="91"/>
      <c r="I81" s="92"/>
      <c r="J81" s="93"/>
    </row>
    <row r="82" spans="2:10" ht="17.25" customHeight="1">
      <c r="B82" s="103" t="s">
        <v>53</v>
      </c>
      <c r="C82" s="149" t="str">
        <f>IF(C89="Laufzeit!","",C88)</f>
        <v/>
      </c>
      <c r="D82" s="149">
        <f>IF(D89="Laufzeit!","",D88)</f>
        <v>152.60607044623833</v>
      </c>
      <c r="E82" s="149">
        <f t="shared" ref="E82:I82" si="12">IF(E89="Laufzeit!","",E88)</f>
        <v>61.658629519233543</v>
      </c>
      <c r="F82" s="149">
        <f t="shared" si="12"/>
        <v>63.713917169874655</v>
      </c>
      <c r="G82" s="149">
        <f t="shared" si="12"/>
        <v>88.185117138525655</v>
      </c>
      <c r="H82" s="149">
        <f t="shared" si="12"/>
        <v>86.9959476581422</v>
      </c>
      <c r="I82" s="149" t="str">
        <f t="shared" si="12"/>
        <v/>
      </c>
      <c r="J82" s="150"/>
    </row>
    <row r="83" spans="2:10" ht="17.25" customHeight="1">
      <c r="B83" s="88" t="s">
        <v>73</v>
      </c>
      <c r="C83" s="108" t="str">
        <f>IF(C80&lt;&gt;"",Hilfsdaten!$H$23*Wärmepumpe!C79+Hilfsdaten!$I$23,"")</f>
        <v/>
      </c>
      <c r="D83" s="109">
        <f>IF(D80&lt;&gt;"",Hilfsdaten!$H$23*Wärmepumpe!D79+Hilfsdaten!$I$23,"")</f>
        <v>12.954545454545455</v>
      </c>
      <c r="E83" s="109">
        <f>IF(E80&lt;&gt;"",Hilfsdaten!$H$23*Wärmepumpe!E79+Hilfsdaten!$I$23,"")</f>
        <v>18.68181818181818</v>
      </c>
      <c r="F83" s="109">
        <f>IF(F80&lt;&gt;"",Hilfsdaten!$H$23*Wärmepumpe!F79+Hilfsdaten!$I$23,"")</f>
        <v>18.68181818181818</v>
      </c>
      <c r="G83" s="109">
        <f>IF(G80&lt;&gt;"",Hilfsdaten!$H$23*Wärmepumpe!G79+Hilfsdaten!$I$23,"")</f>
        <v>17.40909090909091</v>
      </c>
      <c r="H83" s="109">
        <f>IF(H80&lt;&gt;"",Hilfsdaten!$H$23*Wärmepumpe!H79+Hilfsdaten!$I$23,"")</f>
        <v>16.772727272727273</v>
      </c>
      <c r="I83" s="120" t="str">
        <f>IF(I80&lt;&gt;"",Hilfsdaten!$H$23*Wärmepumpe!I79+Hilfsdaten!$I$23,"")</f>
        <v/>
      </c>
      <c r="J83" s="89"/>
    </row>
    <row r="84" spans="2:10" ht="17.25" customHeight="1">
      <c r="B84" s="88" t="s">
        <v>61</v>
      </c>
      <c r="C84" s="108" t="str">
        <f>IF(C79&lt;&gt;"",Wärmepumpe!C79*Hilfsdaten!$D$23+Hilfsdaten!$E$23,"")</f>
        <v/>
      </c>
      <c r="D84" s="109">
        <f>IF(D79&lt;&gt;"",Wärmepumpe!D79*Hilfsdaten!$D$23+Hilfsdaten!$E$23,"")</f>
        <v>4.5378090600166718</v>
      </c>
      <c r="E84" s="109">
        <f>IF(E79&lt;&gt;"",Wärmepumpe!E79*Hilfsdaten!$D$23+Hilfsdaten!$E$23,"")</f>
        <v>5.4344265730683308</v>
      </c>
      <c r="F84" s="109">
        <f>IF(F79&lt;&gt;"",Wärmepumpe!F79*Hilfsdaten!$D$23+Hilfsdaten!$E$23,"")</f>
        <v>5.4344265730683308</v>
      </c>
      <c r="G84" s="109">
        <f>IF(G79&lt;&gt;"",Wärmepumpe!G79*Hilfsdaten!$D$23+Hilfsdaten!$E$23,"")</f>
        <v>5.2351782368346287</v>
      </c>
      <c r="H84" s="109">
        <f>IF(H79&lt;&gt;"",Wärmepumpe!H79*Hilfsdaten!$D$23+Hilfsdaten!$E$23,"")</f>
        <v>5.1355540687177772</v>
      </c>
      <c r="I84" s="120" t="str">
        <f>IF(I79&lt;&gt;"",Wärmepumpe!I79*Hilfsdaten!$D$23+Hilfsdaten!$E$23,"")</f>
        <v/>
      </c>
      <c r="J84" s="89"/>
    </row>
    <row r="85" spans="2:10" ht="17.25" customHeight="1">
      <c r="B85" s="88" t="s">
        <v>79</v>
      </c>
      <c r="C85" s="83" t="str">
        <f>IF(C80&lt;&gt;"",C80/C83,"")</f>
        <v/>
      </c>
      <c r="D85" s="79">
        <f t="shared" ref="D85:I85" si="13">IF(D80&lt;&gt;"",D80/D83,"")</f>
        <v>5.9461540502541315</v>
      </c>
      <c r="E85" s="79">
        <f t="shared" si="13"/>
        <v>2.0616227546501551</v>
      </c>
      <c r="F85" s="79">
        <f t="shared" si="13"/>
        <v>2.0616227546501551</v>
      </c>
      <c r="G85" s="79">
        <f t="shared" si="13"/>
        <v>2.9497892155307706</v>
      </c>
      <c r="H85" s="79">
        <f t="shared" si="13"/>
        <v>3.061705337529228</v>
      </c>
      <c r="I85" s="121" t="str">
        <f t="shared" si="13"/>
        <v/>
      </c>
      <c r="J85" s="89"/>
    </row>
    <row r="86" spans="2:10" ht="17.25" customHeight="1">
      <c r="B86" s="88" t="s">
        <v>113</v>
      </c>
      <c r="C86" s="124" t="str">
        <f>IF(C85&lt;&gt;"",C83/C84*C85*30,"")</f>
        <v/>
      </c>
      <c r="D86" s="125">
        <f>IF(D85&lt;&gt;"",D83/D84*D85*31,"")</f>
        <v>526.22782912495984</v>
      </c>
      <c r="E86" s="125">
        <f>IF(E85&lt;&gt;"",E83/E84*E85*30,"")</f>
        <v>212.61596385942602</v>
      </c>
      <c r="F86" s="125">
        <f>IF(F85&lt;&gt;"",F83/F84*F85*31,"")</f>
        <v>219.7031626547402</v>
      </c>
      <c r="G86" s="125">
        <f>IF(G85&lt;&gt;"",G83/G84*G85*31,"")</f>
        <v>304.08661082250228</v>
      </c>
      <c r="H86" s="125">
        <f>IF(H85&lt;&gt;"",H83/H84*H85*30,"")</f>
        <v>299.98602640738693</v>
      </c>
      <c r="I86" s="126" t="str">
        <f>IF(I85&lt;&gt;"",I83/I84*I85*31,"")</f>
        <v/>
      </c>
      <c r="J86" s="122">
        <f>SUM(C86:I86)</f>
        <v>1562.6195928690154</v>
      </c>
    </row>
    <row r="87" spans="2:10">
      <c r="B87" s="88" t="s">
        <v>112</v>
      </c>
      <c r="C87" s="124">
        <f>IF(AND(C$32&lt;&gt;"",C85&gt;Dateneingabe!$C$44),(C85-Dateneingabe!$C$44)*Dateneingabe!$E$41*30,0)</f>
        <v>0</v>
      </c>
      <c r="D87" s="125">
        <f>IF(AND(D$32&lt;&gt;"",D85&gt;Dateneingabe!$C$45),(D85-Dateneingabe!$C$45)*Dateneingabe!$E$41*31,0)</f>
        <v>0</v>
      </c>
      <c r="E87" s="125">
        <f>IF(AND(E$32&lt;&gt;"",E85&gt;Dateneingabe!$C$46),(E85-Dateneingabe!$C$46)*Dateneingabe!$E$41*30,0)</f>
        <v>0</v>
      </c>
      <c r="F87" s="125">
        <f>IF(AND(F$32&lt;&gt;"",F85&gt;Dateneingabe!$C$47),(F85-Dateneingabe!$C$47)*Dateneingabe!$E$41*31,0)</f>
        <v>0</v>
      </c>
      <c r="G87" s="125">
        <f>IF(AND(G$32&lt;&gt;"",G85&gt;Dateneingabe!$C$48),(G85-Dateneingabe!$C$48)*Dateneingabe!$E$41*31,0)</f>
        <v>0</v>
      </c>
      <c r="H87" s="125">
        <f>IF(AND(H$32&lt;&gt;"",H85&gt;Dateneingabe!$C$49),(H85-Dateneingabe!$C$49)*Dateneingabe!$E$41*30,0)</f>
        <v>0</v>
      </c>
      <c r="I87" s="126">
        <f>IF(AND(I$32&lt;&gt;"",I85&gt;Dateneingabe!$C$50),(I85-Dateneingabe!$C$50)*Dateneingabe!$E$41*31,0)</f>
        <v>0</v>
      </c>
      <c r="J87" s="122">
        <f>SUM(C87:I87)</f>
        <v>0</v>
      </c>
    </row>
    <row r="88" spans="2:10" ht="17.25" customHeight="1">
      <c r="B88" s="88" t="s">
        <v>110</v>
      </c>
      <c r="C88" s="124" t="str">
        <f>IF(C86&lt;&gt;"",(C86+C87)*Dateneingabe!$D$26,"")</f>
        <v/>
      </c>
      <c r="D88" s="125">
        <f>IF(D86&lt;&gt;"",(D86+D87)*Dateneingabe!$D$26,"")</f>
        <v>152.60607044623833</v>
      </c>
      <c r="E88" s="125">
        <f>IF(E86&lt;&gt;"",(E86+E87)*Dateneingabe!$D$26,"")</f>
        <v>61.658629519233543</v>
      </c>
      <c r="F88" s="125">
        <f>IF(F86&lt;&gt;"",(F86+F87)*Dateneingabe!$D$26,"")</f>
        <v>63.713917169874655</v>
      </c>
      <c r="G88" s="125">
        <f>IF(G86&lt;&gt;"",(G86+G87)*Dateneingabe!$D$26,"")</f>
        <v>88.185117138525655</v>
      </c>
      <c r="H88" s="125">
        <f>IF(H86&lt;&gt;"",(H86+H87)*Dateneingabe!$D$26,"")</f>
        <v>86.9959476581422</v>
      </c>
      <c r="I88" s="127" t="str">
        <f>IF(I86&lt;&gt;"",(I86+I87)*Dateneingabe!$D$26,"")</f>
        <v/>
      </c>
      <c r="J88" s="122">
        <f>SUM(C88:I88)</f>
        <v>453.15968193201439</v>
      </c>
    </row>
    <row r="89" spans="2:10" ht="17.25" customHeight="1">
      <c r="B89" s="88"/>
      <c r="C89" s="144" t="str">
        <f>IF(AND(C$32&lt;&gt;"",C85&gt;Dateneingabe!$D$44),"Laufzeit!","")</f>
        <v/>
      </c>
      <c r="D89" s="145" t="str">
        <f>IF(AND(D$32&lt;&gt;"",D85&gt;Dateneingabe!$D$45),"Laufzeit!","")</f>
        <v/>
      </c>
      <c r="E89" s="145" t="str">
        <f>IF(AND(E$32&lt;&gt;"",E85&gt;Dateneingabe!$D$46),"Laufzeit!","")</f>
        <v/>
      </c>
      <c r="F89" s="145" t="str">
        <f>IF(AND(F$32&lt;&gt;"",F85&gt;Dateneingabe!$D$47),"Laufzeit!","")</f>
        <v/>
      </c>
      <c r="G89" s="145" t="str">
        <f>IF(AND(G$32&lt;&gt;"",G85&gt;Dateneingabe!$D$48),"Laufzeit!","")</f>
        <v/>
      </c>
      <c r="H89" s="145" t="str">
        <f>IF(AND(H$32&lt;&gt;"",H85&gt;Dateneingabe!$D$49),"Laufzeit!","")</f>
        <v/>
      </c>
      <c r="I89" s="146" t="str">
        <f>IF(AND(I$32&lt;&gt;"",I85&gt;Dateneingabe!$D$50),"Laufzeit!","")</f>
        <v/>
      </c>
      <c r="J89" s="88"/>
    </row>
    <row r="90" spans="2:10" ht="17.25" customHeight="1" thickBot="1">
      <c r="B90" s="93"/>
      <c r="C90" s="148"/>
      <c r="D90" s="91"/>
      <c r="E90" s="91"/>
      <c r="F90" s="91"/>
      <c r="G90" s="91"/>
      <c r="H90" s="91"/>
      <c r="I90" s="92"/>
      <c r="J90" s="93"/>
    </row>
    <row r="91" spans="2:10">
      <c r="B91" s="103" t="s">
        <v>54</v>
      </c>
      <c r="C91" s="149" t="str">
        <f>IF(C98="Laufzeit!","",C97)</f>
        <v/>
      </c>
      <c r="D91" s="149">
        <f>IF(D98="Laufzeit!","",D97)</f>
        <v>159.45917329383607</v>
      </c>
      <c r="E91" s="149">
        <f t="shared" ref="E91:I91" si="14">IF(E98="Laufzeit!","",E97)</f>
        <v>59.531269886378041</v>
      </c>
      <c r="F91" s="149">
        <f t="shared" si="14"/>
        <v>61.515645549257307</v>
      </c>
      <c r="G91" s="149">
        <f t="shared" si="14"/>
        <v>85.856368608315989</v>
      </c>
      <c r="H91" s="149">
        <f t="shared" si="14"/>
        <v>85.075995270404007</v>
      </c>
      <c r="I91" s="149" t="str">
        <f t="shared" si="14"/>
        <v/>
      </c>
      <c r="J91" s="150"/>
    </row>
    <row r="92" spans="2:10">
      <c r="B92" s="88" t="s">
        <v>73</v>
      </c>
      <c r="C92" s="108" t="str">
        <f>IF(C80&lt;&gt;"",Hilfsdaten!$H$24*Wärmepumpe!C79+Hilfsdaten!$I$24,"")</f>
        <v/>
      </c>
      <c r="D92" s="109">
        <f>IF(D80&lt;&gt;"",Hilfsdaten!$H$24*Wärmepumpe!D79+Hilfsdaten!$I$24,"")</f>
        <v>10.636363636363637</v>
      </c>
      <c r="E92" s="109">
        <f>IF(E80&lt;&gt;"",Hilfsdaten!$H$24*Wärmepumpe!E79+Hilfsdaten!$I$24,"")</f>
        <v>15.054545454545456</v>
      </c>
      <c r="F92" s="109">
        <f>IF(F80&lt;&gt;"",Hilfsdaten!$H$24*Wärmepumpe!F79+Hilfsdaten!$I$24,"")</f>
        <v>15.054545454545456</v>
      </c>
      <c r="G92" s="109">
        <f>IF(G80&lt;&gt;"",Hilfsdaten!$H$24*Wärmepumpe!G79+Hilfsdaten!$I$24,"")</f>
        <v>14.072727272727274</v>
      </c>
      <c r="H92" s="109">
        <f>IF(H80&lt;&gt;"",Hilfsdaten!$H$24*Wärmepumpe!H79+Hilfsdaten!$I$24,"")</f>
        <v>13.581818181818182</v>
      </c>
      <c r="I92" s="120" t="str">
        <f>IF(I80&lt;&gt;"",Hilfsdaten!$H$24*Wärmepumpe!I79+Hilfsdaten!$I$24,"")</f>
        <v/>
      </c>
      <c r="J92" s="89"/>
    </row>
    <row r="93" spans="2:10">
      <c r="B93" s="88" t="s">
        <v>61</v>
      </c>
      <c r="C93" s="108" t="str">
        <f>IF(C79&lt;&gt;"",Wärmepumpe!C79*Hilfsdaten!$D$24+Hilfsdaten!$E$24,"")</f>
        <v/>
      </c>
      <c r="D93" s="109">
        <f>IF(D79&lt;&gt;"",Wärmepumpe!D79*Hilfsdaten!$D$24+Hilfsdaten!$E$24,"")</f>
        <v>4.4970986460348161</v>
      </c>
      <c r="E93" s="109">
        <f>IF(E79&lt;&gt;"",Wärmepumpe!E79*Hilfsdaten!$D$24+Hilfsdaten!$E$24,"")</f>
        <v>5.6286266924564803</v>
      </c>
      <c r="F93" s="109">
        <f>IF(F79&lt;&gt;"",Wärmepumpe!F79*Hilfsdaten!$D$24+Hilfsdaten!$E$24,"")</f>
        <v>5.6286266924564803</v>
      </c>
      <c r="G93" s="109">
        <f>IF(G79&lt;&gt;"",Wärmepumpe!G79*Hilfsdaten!$D$24+Hilfsdaten!$E$24,"")</f>
        <v>5.3771760154738883</v>
      </c>
      <c r="H93" s="109">
        <f>IF(H79&lt;&gt;"",Wärmepumpe!H79*Hilfsdaten!$D$24+Hilfsdaten!$E$24,"")</f>
        <v>5.2514506769825928</v>
      </c>
      <c r="I93" s="120" t="str">
        <f>IF(I79&lt;&gt;"",Wärmepumpe!I79*Hilfsdaten!$D$24+Hilfsdaten!$E$24,"")</f>
        <v/>
      </c>
      <c r="J93" s="89"/>
    </row>
    <row r="94" spans="2:10">
      <c r="B94" s="88" t="s">
        <v>79</v>
      </c>
      <c r="C94" s="83" t="str">
        <f>IF(C80&lt;&gt;"",C80/C92,"")</f>
        <v/>
      </c>
      <c r="D94" s="79">
        <f t="shared" ref="D94:I94" si="15">IF(D80&lt;&gt;"",D80/D92,"")</f>
        <v>7.2421107022325959</v>
      </c>
      <c r="E94" s="79">
        <f t="shared" si="15"/>
        <v>2.5583543241582536</v>
      </c>
      <c r="F94" s="79">
        <f t="shared" si="15"/>
        <v>2.5583543241582536</v>
      </c>
      <c r="G94" s="79">
        <f t="shared" si="15"/>
        <v>3.6491255476365798</v>
      </c>
      <c r="H94" s="79">
        <f t="shared" si="15"/>
        <v>3.7810216517680226</v>
      </c>
      <c r="I94" s="121" t="str">
        <f t="shared" si="15"/>
        <v/>
      </c>
      <c r="J94" s="89"/>
    </row>
    <row r="95" spans="2:10">
      <c r="B95" s="88" t="s">
        <v>113</v>
      </c>
      <c r="C95" s="124" t="str">
        <f>IF(C94&lt;&gt;"",C92/C93*C94*30,"")</f>
        <v/>
      </c>
      <c r="D95" s="125">
        <f>IF(D94&lt;&gt;"",D92/D93*D94*31,"")</f>
        <v>530.99155668769401</v>
      </c>
      <c r="E95" s="125">
        <f>IF(E94&lt;&gt;"",E92/E93*E94*30,"")</f>
        <v>205.2802409875105</v>
      </c>
      <c r="F95" s="125">
        <f>IF(F94&lt;&gt;"",F92/F93*F94*31,"")</f>
        <v>212.12291568709418</v>
      </c>
      <c r="G95" s="125">
        <f>IF(G94&lt;&gt;"",G92/G93*G94*31,"")</f>
        <v>296.0564434769517</v>
      </c>
      <c r="H95" s="125">
        <f>IF(H94&lt;&gt;"",H92/H93*H94*30,"")</f>
        <v>293.36550093242761</v>
      </c>
      <c r="I95" s="126" t="str">
        <f>IF(I94&lt;&gt;"",I92/I93*I94*31,"")</f>
        <v/>
      </c>
      <c r="J95" s="122">
        <f>SUM(C95:I95)</f>
        <v>1537.8166577716779</v>
      </c>
    </row>
    <row r="96" spans="2:10">
      <c r="B96" s="88" t="s">
        <v>112</v>
      </c>
      <c r="C96" s="124">
        <f>IF(AND(C$32&lt;&gt;"",C94&gt;Dateneingabe!$C$44),(C94-Dateneingabe!$C$44)*Dateneingabe!$E$41*30,0)</f>
        <v>0</v>
      </c>
      <c r="D96" s="125">
        <f>IF(AND(D$32&lt;&gt;"",D94&gt;Dateneingabe!$C$45),(D94-Dateneingabe!$C$45)*Dateneingabe!$E$41*31,0)</f>
        <v>18.867661566913132</v>
      </c>
      <c r="E96" s="125">
        <f>IF(AND(E$32&lt;&gt;"",E94&gt;Dateneingabe!$C$46),(E94-Dateneingabe!$C$46)*Dateneingabe!$E$41*30,0)</f>
        <v>0</v>
      </c>
      <c r="F96" s="125">
        <f>IF(AND(F$32&lt;&gt;"",F94&gt;Dateneingabe!$C$47),(F94-Dateneingabe!$C$47)*Dateneingabe!$E$41*31,0)</f>
        <v>0</v>
      </c>
      <c r="G96" s="125">
        <f>IF(AND(G$32&lt;&gt;"",G94&gt;Dateneingabe!$C$48),(G94-Dateneingabe!$C$48)*Dateneingabe!$E$41*31,0)</f>
        <v>0</v>
      </c>
      <c r="H96" s="125">
        <f>IF(AND(H$32&lt;&gt;"",H94&gt;Dateneingabe!$C$49),(H94-Dateneingabe!$C$49)*Dateneingabe!$E$41*30,0)</f>
        <v>0</v>
      </c>
      <c r="I96" s="127">
        <f>IF(AND(I$32&lt;&gt;"",I94&gt;Dateneingabe!$C$50),(I94-Dateneingabe!$C$50)*Dateneingabe!$E$41*31,0)</f>
        <v>0</v>
      </c>
      <c r="J96" s="122">
        <f>SUM(C96:I96)</f>
        <v>18.867661566913132</v>
      </c>
    </row>
    <row r="97" spans="2:16">
      <c r="B97" s="88" t="s">
        <v>110</v>
      </c>
      <c r="C97" s="124" t="str">
        <f>IF(C95&lt;&gt;"",(C95+C96)*Dateneingabe!$D$26,"")</f>
        <v/>
      </c>
      <c r="D97" s="125">
        <f>IF(D95&lt;&gt;"",(D95+D96)*Dateneingabe!$D$26,"")</f>
        <v>159.45917329383607</v>
      </c>
      <c r="E97" s="125">
        <f>IF(E95&lt;&gt;"",(E95+E96)*Dateneingabe!$D$26,"")</f>
        <v>59.531269886378041</v>
      </c>
      <c r="F97" s="125">
        <f>IF(F95&lt;&gt;"",(F95+F96)*Dateneingabe!$D$26,"")</f>
        <v>61.515645549257307</v>
      </c>
      <c r="G97" s="125">
        <f>IF(G95&lt;&gt;"",(G95+G96)*Dateneingabe!$D$26,"")</f>
        <v>85.856368608315989</v>
      </c>
      <c r="H97" s="125">
        <f>IF(H95&lt;&gt;"",(H95+H96)*Dateneingabe!$D$26,"")</f>
        <v>85.075995270404007</v>
      </c>
      <c r="I97" s="127" t="str">
        <f>IF(I95&lt;&gt;"",(I95+I96)*Dateneingabe!$D$26,"")</f>
        <v/>
      </c>
      <c r="J97" s="122">
        <f>SUM(C97:I97)</f>
        <v>451.43845260819143</v>
      </c>
    </row>
    <row r="98" spans="2:16">
      <c r="B98" s="88"/>
      <c r="C98" s="144" t="str">
        <f>IF(AND(C$32&lt;&gt;"",C94&gt;Dateneingabe!$D$44),"Laufzeit!","")</f>
        <v/>
      </c>
      <c r="D98" s="145" t="str">
        <f>IF(AND(D$32&lt;&gt;"",D94&gt;Dateneingabe!$D$45),"Laufzeit!","")</f>
        <v/>
      </c>
      <c r="E98" s="145" t="str">
        <f>IF(AND(E$32&lt;&gt;"",E94&gt;Dateneingabe!$D$46),"Laufzeit!","")</f>
        <v/>
      </c>
      <c r="F98" s="145" t="str">
        <f>IF(AND(F$32&lt;&gt;"",F94&gt;Dateneingabe!$D$47),"Laufzeit!","")</f>
        <v/>
      </c>
      <c r="G98" s="145" t="str">
        <f>IF(AND(G$32&lt;&gt;"",G94&gt;Dateneingabe!$D$48),"Laufzeit!","")</f>
        <v/>
      </c>
      <c r="H98" s="145" t="str">
        <f>IF(AND(H$32&lt;&gt;"",H94&gt;Dateneingabe!$D$49),"Laufzeit!","")</f>
        <v/>
      </c>
      <c r="I98" s="146" t="str">
        <f>IF(AND(I$32&lt;&gt;"",I94&gt;Dateneingabe!$D$50),"Laufzeit!","")</f>
        <v/>
      </c>
      <c r="J98" s="88"/>
    </row>
    <row r="99" spans="2:16" ht="15.75" thickBot="1">
      <c r="B99" s="93"/>
      <c r="C99" s="148"/>
      <c r="D99" s="91"/>
      <c r="E99" s="91"/>
      <c r="F99" s="91"/>
      <c r="G99" s="91"/>
      <c r="H99" s="91"/>
      <c r="I99" s="92"/>
      <c r="J99" s="93"/>
    </row>
    <row r="100" spans="2:16">
      <c r="B100" s="103" t="s">
        <v>55</v>
      </c>
      <c r="C100" s="149" t="str">
        <f>IF(C107="Laufzeit!","",C106)</f>
        <v/>
      </c>
      <c r="D100" s="149">
        <f>IF(D107="Laufzeit!","",D106)</f>
        <v>158.30594092882095</v>
      </c>
      <c r="E100" s="149">
        <f t="shared" ref="E100:I100" si="16">IF(E107="Laufzeit!","",E106)</f>
        <v>59.766447556793906</v>
      </c>
      <c r="F100" s="149">
        <f t="shared" si="16"/>
        <v>61.758662475353709</v>
      </c>
      <c r="G100" s="149">
        <f t="shared" si="16"/>
        <v>85.331292688769906</v>
      </c>
      <c r="H100" s="149">
        <f t="shared" si="16"/>
        <v>84.10376988821919</v>
      </c>
      <c r="I100" s="149" t="str">
        <f t="shared" si="16"/>
        <v/>
      </c>
      <c r="J100" s="150"/>
    </row>
    <row r="101" spans="2:16">
      <c r="B101" s="88" t="s">
        <v>73</v>
      </c>
      <c r="C101" s="108" t="str">
        <f>IF(C80&lt;&gt;"",Hilfsdaten!$H$25*Wärmepumpe!C79+Hilfsdaten!$I$25,"")</f>
        <v/>
      </c>
      <c r="D101" s="109">
        <f>IF(D80&lt;&gt;"",Hilfsdaten!$H$25*Wärmepumpe!D79+Hilfsdaten!$I$25,"")</f>
        <v>8.8990909090909067</v>
      </c>
      <c r="E101" s="109">
        <f>IF(E80&lt;&gt;"",Hilfsdaten!$H$25*Wärmepumpe!E79+Hilfsdaten!$I$25,"")</f>
        <v>12.703636363636361</v>
      </c>
      <c r="F101" s="109">
        <f>IF(F80&lt;&gt;"",Hilfsdaten!$H$25*Wärmepumpe!F79+Hilfsdaten!$I$25,"")</f>
        <v>12.703636363636361</v>
      </c>
      <c r="G101" s="109">
        <f>IF(G80&lt;&gt;"",Hilfsdaten!$H$25*Wärmepumpe!G79+Hilfsdaten!$I$25,"")</f>
        <v>11.858181818181816</v>
      </c>
      <c r="H101" s="109">
        <f>IF(H80&lt;&gt;"",Hilfsdaten!$H$25*Wärmepumpe!H79+Hilfsdaten!$I$25,"")</f>
        <v>11.435454545454544</v>
      </c>
      <c r="I101" s="120" t="str">
        <f>IF(I80&lt;&gt;"",Hilfsdaten!$H$25*Wärmepumpe!I79+Hilfsdaten!$I$25,"")</f>
        <v/>
      </c>
      <c r="J101" s="89"/>
    </row>
    <row r="102" spans="2:16">
      <c r="B102" s="88" t="s">
        <v>61</v>
      </c>
      <c r="C102" s="108" t="str">
        <f>IF(C79&lt;&gt;"",Wärmepumpe!C79*Hilfsdaten!$D$25+Hilfsdaten!$E$25,"")</f>
        <v/>
      </c>
      <c r="D102" s="109">
        <f>IF(D79&lt;&gt;"",Wärmepumpe!D79*Hilfsdaten!$D$25+Hilfsdaten!$E$25,"")</f>
        <v>4.7235129663549609</v>
      </c>
      <c r="E102" s="109">
        <f>IF(E79&lt;&gt;"",Wärmepumpe!E79*Hilfsdaten!$D$25+Hilfsdaten!$E$25,"")</f>
        <v>5.6064783572736916</v>
      </c>
      <c r="F102" s="109">
        <f>IF(F79&lt;&gt;"",Wärmepumpe!F79*Hilfsdaten!$D$25+Hilfsdaten!$E$25,"")</f>
        <v>5.6064783572736916</v>
      </c>
      <c r="G102" s="109">
        <f>IF(G79&lt;&gt;"",Wärmepumpe!G79*Hilfsdaten!$D$25+Hilfsdaten!$E$25,"")</f>
        <v>5.4102638259584186</v>
      </c>
      <c r="H102" s="109">
        <f>IF(H79&lt;&gt;"",Wärmepumpe!H79*Hilfsdaten!$D$25+Hilfsdaten!$E$25,"")</f>
        <v>5.3121565603007816</v>
      </c>
      <c r="I102" s="120" t="str">
        <f>IF(I79&lt;&gt;"",Wärmepumpe!I79*Hilfsdaten!$D$25+Hilfsdaten!$E$25,"")</f>
        <v/>
      </c>
      <c r="J102" s="89"/>
    </row>
    <row r="103" spans="2:16">
      <c r="B103" s="88" t="s">
        <v>79</v>
      </c>
      <c r="C103" s="83" t="str">
        <f>IF(C80&lt;&gt;"",C80/C101,"")</f>
        <v/>
      </c>
      <c r="D103" s="79">
        <f t="shared" ref="D103:I103" si="17">IF(D80&lt;&gt;"",D80/D101,"")</f>
        <v>8.6559092058556946</v>
      </c>
      <c r="E103" s="79">
        <f t="shared" si="17"/>
        <v>3.0317981686031699</v>
      </c>
      <c r="F103" s="79">
        <f t="shared" si="17"/>
        <v>3.0317981686031699</v>
      </c>
      <c r="G103" s="79">
        <f t="shared" si="17"/>
        <v>4.3306089755760713</v>
      </c>
      <c r="H103" s="79">
        <f t="shared" si="17"/>
        <v>4.4906958802300876</v>
      </c>
      <c r="I103" s="121" t="str">
        <f t="shared" si="17"/>
        <v/>
      </c>
      <c r="J103" s="89"/>
    </row>
    <row r="104" spans="2:16">
      <c r="B104" s="88" t="s">
        <v>113</v>
      </c>
      <c r="C104" s="124" t="str">
        <f>IF(C103&lt;&gt;"",C101/C102*C103*30,"")</f>
        <v/>
      </c>
      <c r="D104" s="125">
        <f>IF(D103&lt;&gt;"",D101/D102*D103*31,"")</f>
        <v>505.53929409002086</v>
      </c>
      <c r="E104" s="125">
        <f>IF(E103&lt;&gt;"",E101/E102*E103*30,"")</f>
        <v>206.09119847170314</v>
      </c>
      <c r="F104" s="125">
        <f>IF(F103&lt;&gt;"",F101/F102*F103*31,"")</f>
        <v>212.9609050874266</v>
      </c>
      <c r="G104" s="125">
        <f>IF(G103&lt;&gt;"",G101/G102*G103*31,"")</f>
        <v>294.24583685782727</v>
      </c>
      <c r="H104" s="125">
        <f>IF(H103&lt;&gt;"",H101/H102*H103*30,"")</f>
        <v>290.01299961454896</v>
      </c>
      <c r="I104" s="126" t="str">
        <f>IF(I103&lt;&gt;"",I101/I102*I103*31,"")</f>
        <v/>
      </c>
      <c r="J104" s="122">
        <f>SUM(C104:I104)</f>
        <v>1508.8502341215269</v>
      </c>
    </row>
    <row r="105" spans="2:16">
      <c r="B105" s="88" t="s">
        <v>112</v>
      </c>
      <c r="C105" s="124">
        <f>IF(AND(C$32&lt;&gt;"",C103&gt;Dateneingabe!$C$44),(C103-Dateneingabe!$C$44)*Dateneingabe!$E$41*30,0)</f>
        <v>0</v>
      </c>
      <c r="D105" s="125">
        <f>IF(AND(D$32&lt;&gt;"",D103&gt;Dateneingabe!$C$45),(D103-Dateneingabe!$C$45)*Dateneingabe!$E$41*31,0)</f>
        <v>40.343260836947998</v>
      </c>
      <c r="E105" s="125">
        <f>IF(AND(E$32&lt;&gt;"",E103&gt;Dateneingabe!$C$46),(E103-Dateneingabe!$C$46)*Dateneingabe!$E$41*30,0)</f>
        <v>0</v>
      </c>
      <c r="F105" s="125">
        <f>IF(AND(F$32&lt;&gt;"",F103&gt;Dateneingabe!$C$47),(F103-Dateneingabe!$C$47)*Dateneingabe!$E$41*31,0)</f>
        <v>0</v>
      </c>
      <c r="G105" s="125">
        <f>IF(AND(G$32&lt;&gt;"",G103&gt;Dateneingabe!$C$48),(G103-Dateneingabe!$C$48)*Dateneingabe!$E$41*31,0)</f>
        <v>0</v>
      </c>
      <c r="H105" s="125">
        <f>IF(AND(H$32&lt;&gt;"",H103&gt;Dateneingabe!$C$49),(H103-Dateneingabe!$C$49)*Dateneingabe!$E$41*30,0)</f>
        <v>0</v>
      </c>
      <c r="I105" s="127">
        <f>IF(AND(I$32&lt;&gt;"",I103&gt;Dateneingabe!$C$50),(I103-Dateneingabe!$C$50)*Dateneingabe!$E$41*31,0)</f>
        <v>0</v>
      </c>
      <c r="J105" s="122">
        <f>SUM(C105:I105)</f>
        <v>40.343260836947998</v>
      </c>
    </row>
    <row r="106" spans="2:16">
      <c r="B106" s="88" t="s">
        <v>110</v>
      </c>
      <c r="C106" s="124" t="str">
        <f>IF(C104&lt;&gt;"",(C104+C105)*Dateneingabe!$D$26,"")</f>
        <v/>
      </c>
      <c r="D106" s="125">
        <f>IF(D104&lt;&gt;"",(D104+D105)*Dateneingabe!$D$26,"")</f>
        <v>158.30594092882095</v>
      </c>
      <c r="E106" s="125">
        <f>IF(E104&lt;&gt;"",(E104+E105)*Dateneingabe!$D$26,"")</f>
        <v>59.766447556793906</v>
      </c>
      <c r="F106" s="125">
        <f>IF(F104&lt;&gt;"",(F104+F105)*Dateneingabe!$D$26,"")</f>
        <v>61.758662475353709</v>
      </c>
      <c r="G106" s="125">
        <f>IF(G104&lt;&gt;"",(G104+G105)*Dateneingabe!$D$26,"")</f>
        <v>85.331292688769906</v>
      </c>
      <c r="H106" s="125">
        <f>IF(H104&lt;&gt;"",(H104+H105)*Dateneingabe!$D$26,"")</f>
        <v>84.10376988821919</v>
      </c>
      <c r="I106" s="127" t="str">
        <f>IF(I104&lt;&gt;"",(I104+I105)*Dateneingabe!$D$26,"")</f>
        <v/>
      </c>
      <c r="J106" s="123">
        <f>SUM(C106:I106)</f>
        <v>449.26611353795766</v>
      </c>
    </row>
    <row r="107" spans="2:16" ht="17.25" customHeight="1">
      <c r="B107" s="88"/>
      <c r="C107" s="144" t="str">
        <f>IF(AND(C$32&lt;&gt;"",C103&gt;Dateneingabe!$D$44),"Laufzeit!","")</f>
        <v/>
      </c>
      <c r="D107" s="145" t="str">
        <f>IF(AND(D$32&lt;&gt;"",D103&gt;Dateneingabe!$D$45),"Laufzeit!","")</f>
        <v/>
      </c>
      <c r="E107" s="145" t="str">
        <f>IF(AND(E$32&lt;&gt;"",E103&gt;Dateneingabe!$D$46),"Laufzeit!","")</f>
        <v/>
      </c>
      <c r="F107" s="145" t="str">
        <f>IF(AND(F$32&lt;&gt;"",F103&gt;Dateneingabe!$D$47),"Laufzeit!","")</f>
        <v/>
      </c>
      <c r="G107" s="145" t="str">
        <f>IF(AND(G$32&lt;&gt;"",G103&gt;Dateneingabe!$D$48),"Laufzeit!","")</f>
        <v/>
      </c>
      <c r="H107" s="145" t="str">
        <f>IF(AND(H$32&lt;&gt;"",H103&gt;Dateneingabe!$D$49),"Laufzeit!","")</f>
        <v/>
      </c>
      <c r="I107" s="146" t="str">
        <f>IF(AND(I$32&lt;&gt;"",I103&gt;Dateneingabe!$D$50),"Laufzeit!","")</f>
        <v/>
      </c>
      <c r="J107" s="88"/>
    </row>
    <row r="108" spans="2:16" ht="17.25" customHeight="1" thickBot="1">
      <c r="B108" s="93"/>
      <c r="C108" s="148"/>
      <c r="D108" s="91"/>
      <c r="E108" s="91"/>
      <c r="F108" s="91"/>
      <c r="G108" s="91"/>
      <c r="H108" s="91"/>
      <c r="I108" s="92"/>
      <c r="J108" s="93"/>
    </row>
    <row r="109" spans="2:16">
      <c r="B109" s="99" t="s">
        <v>80</v>
      </c>
      <c r="C109" s="99" t="s">
        <v>111</v>
      </c>
    </row>
    <row r="110" spans="2:16" ht="15.75" thickBot="1"/>
    <row r="111" spans="2:16">
      <c r="B111" s="103" t="s">
        <v>105</v>
      </c>
      <c r="C111" s="104"/>
      <c r="D111" s="105"/>
      <c r="E111" s="105"/>
      <c r="F111" s="105"/>
      <c r="G111" s="105"/>
      <c r="H111" s="105"/>
      <c r="I111" s="106"/>
      <c r="J111" s="107"/>
      <c r="M111" s="207" t="s">
        <v>115</v>
      </c>
      <c r="N111" s="208"/>
      <c r="O111" s="208"/>
      <c r="P111" s="209"/>
    </row>
    <row r="112" spans="2:16">
      <c r="B112" s="88" t="s">
        <v>73</v>
      </c>
      <c r="C112" s="108" t="str">
        <f>IF(NOT(ISNA(HLOOKUP(C117,$C$82:$I$89,2,FALSE))),HLOOKUP(C117,$C$82:$I$89,2,FALSE),IF(NOT(ISNA(HLOOKUP(C117,$C$91:$I$98,2,FALSE))),HLOOKUP(C117,$C$91:$I$98,2,FALSE),HLOOKUP(C117,$C$100:$I$107,2,FALSE)))</f>
        <v/>
      </c>
      <c r="D112" s="109">
        <f t="shared" ref="D112:I112" si="18">IF(NOT(ISNA(HLOOKUP(D117,$C$82:$I$89,2,FALSE))),HLOOKUP(D117,$C$82:$I$89,2,FALSE),IF(NOT(ISNA(HLOOKUP(D117,$C$91:$I$98,2,FALSE))),HLOOKUP(D117,$C$91:$I$98,2,FALSE),HLOOKUP(D117,$C$100:$I$107,2,FALSE)))</f>
        <v>12.954545454545455</v>
      </c>
      <c r="E112" s="109">
        <f t="shared" si="18"/>
        <v>15.054545454545456</v>
      </c>
      <c r="F112" s="109">
        <f t="shared" si="18"/>
        <v>15.054545454545456</v>
      </c>
      <c r="G112" s="109">
        <f t="shared" si="18"/>
        <v>11.858181818181816</v>
      </c>
      <c r="H112" s="109">
        <f t="shared" si="18"/>
        <v>11.435454545454544</v>
      </c>
      <c r="I112" s="120" t="str">
        <f t="shared" si="18"/>
        <v/>
      </c>
      <c r="J112" s="89"/>
      <c r="M112" s="210"/>
      <c r="N112" s="211"/>
      <c r="O112" s="211"/>
      <c r="P112" s="212"/>
    </row>
    <row r="113" spans="2:16">
      <c r="B113" s="88" t="s">
        <v>61</v>
      </c>
      <c r="C113" s="108" t="str">
        <f t="shared" ref="C113:I113" si="19">IF(NOT(ISNA(HLOOKUP(C117,$C$82:$I$89,3,FALSE))),HLOOKUP(C117,$C$82:$I$89,3,FALSE),IF(NOT(ISNA(HLOOKUP(C117,$C$91:$I$98,3,FALSE))),HLOOKUP(C117,$C$91:$I$98,3,FALSE),HLOOKUP(C117,$C$100:$I$107,3,FALSE)))</f>
        <v/>
      </c>
      <c r="D113" s="109">
        <f t="shared" si="19"/>
        <v>4.5378090600166718</v>
      </c>
      <c r="E113" s="109">
        <f t="shared" si="19"/>
        <v>5.6286266924564803</v>
      </c>
      <c r="F113" s="109">
        <f t="shared" si="19"/>
        <v>5.6286266924564803</v>
      </c>
      <c r="G113" s="109">
        <f t="shared" si="19"/>
        <v>5.4102638259584186</v>
      </c>
      <c r="H113" s="109">
        <f t="shared" si="19"/>
        <v>5.3121565603007816</v>
      </c>
      <c r="I113" s="120" t="str">
        <f t="shared" si="19"/>
        <v/>
      </c>
      <c r="J113" s="89"/>
      <c r="M113" s="210"/>
      <c r="N113" s="211"/>
      <c r="O113" s="211"/>
      <c r="P113" s="212"/>
    </row>
    <row r="114" spans="2:16">
      <c r="B114" s="88" t="s">
        <v>79</v>
      </c>
      <c r="C114" s="83" t="str">
        <f t="shared" ref="C114:I114" si="20">IF(NOT(ISNA(HLOOKUP(C117,$C$82:$I$89,4,FALSE))),HLOOKUP(C117,$C$82:$I$89,4,FALSE),IF(NOT(ISNA(HLOOKUP(C117,$C$91:$I$98,4,FALSE))),HLOOKUP(C117,$C$91:$I$98,4,FALSE),HLOOKUP(C117,$C$100:$I$107,4,FALSE)))</f>
        <v/>
      </c>
      <c r="D114" s="79">
        <f t="shared" si="20"/>
        <v>5.9461540502541315</v>
      </c>
      <c r="E114" s="79">
        <f t="shared" si="20"/>
        <v>2.5583543241582536</v>
      </c>
      <c r="F114" s="79">
        <f t="shared" si="20"/>
        <v>2.5583543241582536</v>
      </c>
      <c r="G114" s="79">
        <f t="shared" si="20"/>
        <v>4.3306089755760713</v>
      </c>
      <c r="H114" s="79">
        <f t="shared" si="20"/>
        <v>4.4906958802300876</v>
      </c>
      <c r="I114" s="121" t="str">
        <f t="shared" si="20"/>
        <v/>
      </c>
      <c r="J114" s="89"/>
      <c r="M114" s="210"/>
      <c r="N114" s="211"/>
      <c r="O114" s="211"/>
      <c r="P114" s="212"/>
    </row>
    <row r="115" spans="2:16">
      <c r="B115" s="88" t="s">
        <v>113</v>
      </c>
      <c r="C115" s="124" t="str">
        <f>IF(NOT(ISNA(HLOOKUP(C117,$C$82:$I$89,5,FALSE))),HLOOKUP(C117,$C$82:$I$89,5,FALSE),IF(NOT(ISNA(HLOOKUP(C117,$C$91:$I$98,5,FALSE))),HLOOKUP(C117,$C$91:$I$98,5,FALSE),HLOOKUP(C117,$C$100:$I$107,5,FALSE)))</f>
        <v/>
      </c>
      <c r="D115" s="125">
        <f t="shared" ref="D115:I115" si="21">IF(NOT(ISNA(HLOOKUP(D117,$C$82:$I$89,5,FALSE))),HLOOKUP(D117,$C$82:$I$89,5,FALSE),IF(NOT(ISNA(HLOOKUP(D117,$C$91:$I$98,5,FALSE))),HLOOKUP(D117,$C$91:$I$98,5,FALSE),HLOOKUP(D117,$C$100:$I$107,5,FALSE)))</f>
        <v>526.22782912495984</v>
      </c>
      <c r="E115" s="125">
        <f t="shared" si="21"/>
        <v>205.2802409875105</v>
      </c>
      <c r="F115" s="125">
        <f t="shared" si="21"/>
        <v>212.12291568709418</v>
      </c>
      <c r="G115" s="125">
        <f t="shared" si="21"/>
        <v>294.24583685782727</v>
      </c>
      <c r="H115" s="125">
        <f t="shared" si="21"/>
        <v>290.01299961454896</v>
      </c>
      <c r="I115" s="127" t="str">
        <f t="shared" si="21"/>
        <v/>
      </c>
      <c r="J115" s="122">
        <f>SUM(C115:I115)</f>
        <v>1527.8898222719408</v>
      </c>
      <c r="M115" s="210"/>
      <c r="N115" s="211"/>
      <c r="O115" s="211"/>
      <c r="P115" s="212"/>
    </row>
    <row r="116" spans="2:16">
      <c r="B116" s="88" t="s">
        <v>112</v>
      </c>
      <c r="C116" s="124">
        <f t="shared" ref="C116:I116" si="22">IF(NOT(ISNA(HLOOKUP(C117,$C$82:$I$89,6,FALSE))),HLOOKUP(C117,$C$82:$I$89,6,FALSE),IF(NOT(ISNA(HLOOKUP(C117,$C$91:$I$98,6,FALSE))),HLOOKUP(C117,$C$91:$I$98,6,FALSE),HLOOKUP(C117,$C$100:$I$107,6,FALSE)))</f>
        <v>0</v>
      </c>
      <c r="D116" s="125">
        <f t="shared" si="22"/>
        <v>0</v>
      </c>
      <c r="E116" s="125">
        <f t="shared" si="22"/>
        <v>0</v>
      </c>
      <c r="F116" s="125">
        <f t="shared" si="22"/>
        <v>0</v>
      </c>
      <c r="G116" s="125">
        <f t="shared" si="22"/>
        <v>0</v>
      </c>
      <c r="H116" s="125">
        <f t="shared" si="22"/>
        <v>0</v>
      </c>
      <c r="I116" s="127">
        <f t="shared" si="22"/>
        <v>0</v>
      </c>
      <c r="J116" s="122">
        <f>SUM(C116:I116)</f>
        <v>0</v>
      </c>
      <c r="M116" s="210"/>
      <c r="N116" s="211"/>
      <c r="O116" s="211"/>
      <c r="P116" s="212"/>
    </row>
    <row r="117" spans="2:16">
      <c r="B117" s="88" t="s">
        <v>75</v>
      </c>
      <c r="C117" s="124" t="str">
        <f>IF(MIN(C82,C91,C100)=0,"",MIN(C82,C91,C100))</f>
        <v/>
      </c>
      <c r="D117" s="125">
        <f t="shared" ref="D117:I117" si="23">IF(MIN(D82,D91,D100)=0,"",MIN(D82,D91,D100))</f>
        <v>152.60607044623833</v>
      </c>
      <c r="E117" s="125">
        <f t="shared" si="23"/>
        <v>59.531269886378041</v>
      </c>
      <c r="F117" s="125">
        <f t="shared" si="23"/>
        <v>61.515645549257307</v>
      </c>
      <c r="G117" s="125">
        <f t="shared" si="23"/>
        <v>85.331292688769906</v>
      </c>
      <c r="H117" s="125">
        <f t="shared" si="23"/>
        <v>84.10376988821919</v>
      </c>
      <c r="I117" s="127" t="str">
        <f t="shared" si="23"/>
        <v/>
      </c>
      <c r="J117" s="123">
        <f>SUM(C117:I117)</f>
        <v>443.08804845886277</v>
      </c>
      <c r="M117" s="210"/>
      <c r="N117" s="211"/>
      <c r="O117" s="211"/>
      <c r="P117" s="212"/>
    </row>
    <row r="118" spans="2:16" ht="15.75" thickBot="1">
      <c r="B118" s="93"/>
      <c r="C118" s="90"/>
      <c r="D118" s="91"/>
      <c r="E118" s="91"/>
      <c r="F118" s="91"/>
      <c r="G118" s="91"/>
      <c r="H118" s="91"/>
      <c r="I118" s="147"/>
      <c r="J118" s="93"/>
      <c r="M118" s="213"/>
      <c r="N118" s="214"/>
      <c r="O118" s="214"/>
      <c r="P118" s="215"/>
    </row>
    <row r="119" spans="2:16">
      <c r="B119" s="99" t="s">
        <v>80</v>
      </c>
      <c r="C119" s="99" t="s">
        <v>111</v>
      </c>
    </row>
  </sheetData>
  <mergeCells count="6">
    <mergeCell ref="M111:P118"/>
    <mergeCell ref="B23:D25"/>
    <mergeCell ref="E23:H25"/>
    <mergeCell ref="I23:L25"/>
    <mergeCell ref="N2:O2"/>
    <mergeCell ref="M65:P72"/>
  </mergeCells>
  <conditionalFormatting sqref="C85:J85 C103:J103 C94:J94 C39:J39 C48:J48 C57:J57 C68:J68">
    <cfRule type="colorScale" priority="67">
      <colorScale>
        <cfvo type="num" val="5"/>
        <cfvo type="percentile" val="7"/>
        <cfvo type="num" val="8"/>
        <color rgb="FF00B050"/>
        <color rgb="FFFFEB84"/>
        <color rgb="FFFF0000"/>
      </colorScale>
    </cfRule>
  </conditionalFormatting>
  <conditionalFormatting sqref="C37:I43">
    <cfRule type="expression" dxfId="27" priority="50">
      <formula>C$43="Laufzeit!"</formula>
    </cfRule>
  </conditionalFormatting>
  <conditionalFormatting sqref="C46:I52">
    <cfRule type="expression" dxfId="26" priority="47">
      <formula>C$52="Laufzeit!"</formula>
    </cfRule>
  </conditionalFormatting>
  <conditionalFormatting sqref="C55:I61">
    <cfRule type="expression" dxfId="25" priority="46">
      <formula>C$61="Laufzeit!"</formula>
    </cfRule>
  </conditionalFormatting>
  <conditionalFormatting sqref="C114:J114">
    <cfRule type="colorScale" priority="45">
      <colorScale>
        <cfvo type="num" val="5"/>
        <cfvo type="percentile" val="7"/>
        <cfvo type="num" val="8"/>
        <color rgb="FF00B050"/>
        <color rgb="FFFFEB84"/>
        <color rgb="FFFF0000"/>
      </colorScale>
    </cfRule>
  </conditionalFormatting>
  <conditionalFormatting sqref="C52:I52">
    <cfRule type="expression" dxfId="24" priority="44">
      <formula>C$43="Laufzeit!"</formula>
    </cfRule>
  </conditionalFormatting>
  <conditionalFormatting sqref="C61:I61">
    <cfRule type="expression" dxfId="23" priority="43">
      <formula>C$52="Laufzeit!"</formula>
    </cfRule>
  </conditionalFormatting>
  <conditionalFormatting sqref="C61:I61">
    <cfRule type="expression" dxfId="22" priority="42">
      <formula>C$43="Laufzeit!"</formula>
    </cfRule>
  </conditionalFormatting>
  <conditionalFormatting sqref="C83:I89">
    <cfRule type="expression" dxfId="21" priority="35">
      <formula>C$89="Laufzeit!"</formula>
    </cfRule>
  </conditionalFormatting>
  <conditionalFormatting sqref="C101:I107">
    <cfRule type="expression" dxfId="20" priority="34">
      <formula>C$107="Laufzeit!"</formula>
    </cfRule>
  </conditionalFormatting>
  <conditionalFormatting sqref="C92:I98">
    <cfRule type="expression" dxfId="19" priority="33">
      <formula>C$98="Laufzeit!"</formula>
    </cfRule>
  </conditionalFormatting>
  <conditionalFormatting sqref="C50:I50">
    <cfRule type="expression" dxfId="18" priority="7">
      <formula>C50&lt;1</formula>
    </cfRule>
    <cfRule type="expression" dxfId="17" priority="32">
      <formula>C$43="Laufzeit!"</formula>
    </cfRule>
  </conditionalFormatting>
  <conditionalFormatting sqref="C50:I50">
    <cfRule type="expression" dxfId="16" priority="31">
      <formula>C$43="Laufzeit!"</formula>
    </cfRule>
  </conditionalFormatting>
  <conditionalFormatting sqref="C59:I59">
    <cfRule type="expression" dxfId="15" priority="6">
      <formula>C59=0</formula>
    </cfRule>
    <cfRule type="expression" dxfId="14" priority="30">
      <formula>C$52="Laufzeit!"</formula>
    </cfRule>
  </conditionalFormatting>
  <conditionalFormatting sqref="C59:I59">
    <cfRule type="expression" dxfId="13" priority="29">
      <formula>C$43="Laufzeit!"</formula>
    </cfRule>
  </conditionalFormatting>
  <conditionalFormatting sqref="C59:I59">
    <cfRule type="expression" dxfId="12" priority="28">
      <formula>C$43="Laufzeit!"</formula>
    </cfRule>
  </conditionalFormatting>
  <conditionalFormatting sqref="C41:I41 C70:I70">
    <cfRule type="expression" dxfId="11" priority="8">
      <formula>C41&lt;1</formula>
    </cfRule>
  </conditionalFormatting>
  <conditionalFormatting sqref="C87:I87">
    <cfRule type="expression" dxfId="10" priority="4">
      <formula>C87&lt;1</formula>
    </cfRule>
  </conditionalFormatting>
  <conditionalFormatting sqref="C96:I96">
    <cfRule type="expression" dxfId="9" priority="3">
      <formula>C96&lt;1</formula>
    </cfRule>
  </conditionalFormatting>
  <conditionalFormatting sqref="C105:I105">
    <cfRule type="expression" dxfId="8" priority="2">
      <formula>C105&lt;1</formula>
    </cfRule>
  </conditionalFormatting>
  <conditionalFormatting sqref="C116:I116">
    <cfRule type="expression" dxfId="7" priority="1">
      <formula>C116=0</formula>
    </cfRule>
  </conditionalFormatting>
  <hyperlinks>
    <hyperlink ref="N2" location="Start!A1" display="&lt;- Zurück"/>
  </hyperlinks>
  <pageMargins left="0.70866141732283472" right="0.70866141732283472" top="0.78740157480314965" bottom="0.78740157480314965" header="0.31496062992125984" footer="0.31496062992125984"/>
  <pageSetup paperSize="9" scale="85" fitToHeight="10000" orientation="landscape" r:id="rId1"/>
  <headerFooter>
    <oddFooter>&amp;C&amp;1#&amp;"Arial"&amp;10&amp;K000000Internal</oddFooter>
  </headerFooter>
  <rowBreaks count="4" manualBreakCount="4">
    <brk id="27" max="16383" man="1"/>
    <brk id="63" max="16383" man="1"/>
    <brk id="73" max="16383" man="1"/>
    <brk id="109" max="16383" man="1"/>
  </rowBreaks>
  <ignoredErrors>
    <ignoredError sqref="D86:H86" formula="1"/>
  </ignoredErrors>
  <drawing r:id="rId2"/>
</worksheet>
</file>

<file path=xl/worksheets/sheet4.xml><?xml version="1.0" encoding="utf-8"?>
<worksheet xmlns="http://schemas.openxmlformats.org/spreadsheetml/2006/main" xmlns:r="http://schemas.openxmlformats.org/officeDocument/2006/relationships">
  <sheetPr codeName="Tabelle4"/>
  <dimension ref="B1:Y95"/>
  <sheetViews>
    <sheetView workbookViewId="0">
      <selection activeCell="N2" sqref="N2:O2"/>
    </sheetView>
  </sheetViews>
  <sheetFormatPr baseColWidth="10" defaultRowHeight="15"/>
  <cols>
    <col min="1" max="1" width="3.140625" style="1" customWidth="1"/>
    <col min="2" max="2" width="27.140625" style="1" customWidth="1"/>
    <col min="3" max="20" width="11.7109375" style="1" customWidth="1"/>
    <col min="21" max="16384" width="11.42578125" style="1"/>
  </cols>
  <sheetData>
    <row r="1" spans="2:25" ht="14.25" customHeight="1" thickBot="1"/>
    <row r="2" spans="2:25" ht="17.25" customHeight="1" thickBot="1">
      <c r="B2" s="151" t="s">
        <v>125</v>
      </c>
      <c r="N2" s="189" t="s">
        <v>51</v>
      </c>
      <c r="O2" s="190"/>
    </row>
    <row r="3" spans="2:25" ht="17.25" customHeight="1" thickBot="1">
      <c r="B3" s="68"/>
      <c r="N3" s="161"/>
      <c r="O3" s="161"/>
    </row>
    <row r="4" spans="2:25" ht="17.25" customHeight="1">
      <c r="B4" s="110" t="s">
        <v>128</v>
      </c>
      <c r="C4" s="111"/>
      <c r="D4" s="112"/>
      <c r="E4" s="110"/>
      <c r="F4" s="111"/>
      <c r="G4" s="111"/>
      <c r="H4" s="112"/>
      <c r="I4" s="110"/>
      <c r="J4" s="111"/>
      <c r="K4" s="111"/>
      <c r="L4" s="112"/>
      <c r="N4" s="224" t="s">
        <v>133</v>
      </c>
      <c r="O4" s="225"/>
      <c r="P4" s="225"/>
      <c r="Q4" s="226"/>
      <c r="R4" s="171" t="s">
        <v>81</v>
      </c>
      <c r="S4" s="206" t="s">
        <v>144</v>
      </c>
      <c r="T4" s="206"/>
      <c r="U4" s="206"/>
      <c r="V4" s="206"/>
      <c r="W4" s="206"/>
      <c r="X4" s="206"/>
      <c r="Y4" s="206"/>
    </row>
    <row r="5" spans="2:25" s="72" customFormat="1" ht="7.5" customHeight="1">
      <c r="B5" s="98"/>
      <c r="C5" s="54"/>
      <c r="D5" s="54"/>
      <c r="E5" s="159"/>
      <c r="F5" s="54"/>
      <c r="G5" s="54"/>
      <c r="H5" s="54"/>
      <c r="I5" s="159"/>
      <c r="J5" s="54"/>
      <c r="K5" s="54"/>
      <c r="L5" s="97"/>
      <c r="N5" s="227"/>
      <c r="O5" s="228"/>
      <c r="P5" s="228"/>
      <c r="Q5" s="229"/>
    </row>
    <row r="6" spans="2:25" ht="17.25" customHeight="1">
      <c r="B6" s="37" t="s">
        <v>129</v>
      </c>
      <c r="C6" s="77">
        <v>0</v>
      </c>
      <c r="D6" s="2" t="s">
        <v>126</v>
      </c>
      <c r="E6" s="2" t="s">
        <v>131</v>
      </c>
      <c r="F6" s="54"/>
      <c r="G6" s="77">
        <v>52.5</v>
      </c>
      <c r="H6" s="2"/>
      <c r="I6" s="160"/>
      <c r="J6" s="54"/>
      <c r="K6" s="222" t="str">
        <f>IF(AND(C6=Hilfsdaten!B33,C7=Hilfsdaten!B34,G6=Hilfsdaten!B31,G7=Hilfsdaten!B32),"Daten OK","Daten neu holen")</f>
        <v>Daten OK</v>
      </c>
      <c r="L6" s="223"/>
      <c r="N6" s="227"/>
      <c r="O6" s="228"/>
      <c r="P6" s="228"/>
      <c r="Q6" s="229"/>
    </row>
    <row r="7" spans="2:25" ht="17.25" customHeight="1">
      <c r="B7" s="37" t="s">
        <v>127</v>
      </c>
      <c r="C7" s="77">
        <v>0</v>
      </c>
      <c r="D7" s="2" t="s">
        <v>126</v>
      </c>
      <c r="E7" s="2" t="s">
        <v>132</v>
      </c>
      <c r="F7" s="69"/>
      <c r="G7" s="77">
        <v>13.4</v>
      </c>
      <c r="H7" s="2"/>
      <c r="I7" s="2"/>
      <c r="J7" s="69"/>
      <c r="K7" s="222"/>
      <c r="L7" s="223"/>
      <c r="N7" s="227"/>
      <c r="O7" s="228"/>
      <c r="P7" s="228"/>
      <c r="Q7" s="229"/>
    </row>
    <row r="8" spans="2:25" ht="17.25" customHeight="1">
      <c r="B8" s="37"/>
      <c r="C8" s="69"/>
      <c r="D8" s="54"/>
      <c r="E8" s="54"/>
      <c r="F8" s="69"/>
      <c r="G8" s="69"/>
      <c r="H8" s="2"/>
      <c r="I8" s="2"/>
      <c r="J8" s="69"/>
      <c r="K8" s="163"/>
      <c r="L8" s="164"/>
      <c r="N8" s="227"/>
      <c r="O8" s="228"/>
      <c r="P8" s="228"/>
      <c r="Q8" s="229"/>
    </row>
    <row r="9" spans="2:25" ht="17.25" customHeight="1" thickBot="1">
      <c r="B9" s="37"/>
      <c r="C9" s="69"/>
      <c r="D9" s="54"/>
      <c r="E9" s="54"/>
      <c r="F9" s="69"/>
      <c r="G9" s="69"/>
      <c r="H9" s="2"/>
      <c r="I9" s="2"/>
      <c r="J9" s="69"/>
      <c r="K9" s="163"/>
      <c r="L9" s="164"/>
      <c r="N9" s="230"/>
      <c r="O9" s="231"/>
      <c r="P9" s="231"/>
      <c r="Q9" s="232"/>
    </row>
    <row r="10" spans="2:25" ht="17.25" customHeight="1">
      <c r="B10" s="37"/>
      <c r="C10" s="69"/>
      <c r="D10" s="54"/>
      <c r="E10" s="54"/>
      <c r="F10" s="69"/>
      <c r="G10" s="69"/>
      <c r="H10" s="2"/>
      <c r="I10" s="2"/>
      <c r="J10" s="69"/>
      <c r="K10" s="163"/>
      <c r="L10" s="164"/>
      <c r="N10" s="165"/>
      <c r="O10" s="165"/>
      <c r="P10" s="165"/>
      <c r="Q10" s="165"/>
    </row>
    <row r="11" spans="2:25" ht="17.25" customHeight="1">
      <c r="B11" s="37"/>
      <c r="C11" s="69"/>
      <c r="D11" s="54"/>
      <c r="E11" s="54"/>
      <c r="F11" s="69"/>
      <c r="G11" s="69"/>
      <c r="H11" s="2"/>
      <c r="I11" s="2"/>
      <c r="J11" s="69"/>
      <c r="K11" s="163"/>
      <c r="L11" s="164"/>
      <c r="N11" s="166"/>
      <c r="O11" s="166"/>
      <c r="P11" s="166"/>
      <c r="Q11" s="166"/>
    </row>
    <row r="12" spans="2:25" ht="17.25" customHeight="1">
      <c r="B12" s="37"/>
      <c r="C12" s="69"/>
      <c r="D12" s="54"/>
      <c r="E12" s="54"/>
      <c r="F12" s="69"/>
      <c r="G12" s="69"/>
      <c r="H12" s="2"/>
      <c r="I12" s="2"/>
      <c r="J12" s="69"/>
      <c r="K12" s="163"/>
      <c r="L12" s="164"/>
      <c r="N12" s="166"/>
      <c r="O12" s="166"/>
      <c r="P12" s="166"/>
      <c r="Q12" s="166"/>
    </row>
    <row r="13" spans="2:25" ht="17.25" customHeight="1">
      <c r="B13" s="37"/>
      <c r="C13" s="69"/>
      <c r="D13" s="54"/>
      <c r="E13" s="54"/>
      <c r="F13" s="69"/>
      <c r="G13" s="69"/>
      <c r="H13" s="2"/>
      <c r="I13" s="2"/>
      <c r="J13" s="69"/>
      <c r="K13" s="163"/>
      <c r="L13" s="164"/>
      <c r="N13" s="166"/>
      <c r="O13" s="166"/>
      <c r="P13" s="166"/>
      <c r="Q13" s="166"/>
    </row>
    <row r="14" spans="2:25" ht="17.25" customHeight="1">
      <c r="B14" s="37"/>
      <c r="C14" s="69"/>
      <c r="D14" s="54"/>
      <c r="E14" s="54"/>
      <c r="F14" s="69"/>
      <c r="G14" s="69"/>
      <c r="H14" s="2"/>
      <c r="I14" s="2"/>
      <c r="J14" s="69"/>
      <c r="K14" s="163"/>
      <c r="L14" s="164"/>
      <c r="N14" s="166"/>
      <c r="O14" s="166"/>
      <c r="P14" s="166"/>
      <c r="Q14" s="166"/>
    </row>
    <row r="15" spans="2:25" ht="17.25" customHeight="1">
      <c r="B15" s="37"/>
      <c r="C15" s="69"/>
      <c r="D15" s="54"/>
      <c r="E15" s="54"/>
      <c r="F15" s="69"/>
      <c r="G15" s="69"/>
      <c r="H15" s="2"/>
      <c r="I15" s="2"/>
      <c r="J15" s="69"/>
      <c r="K15" s="163"/>
      <c r="L15" s="164"/>
      <c r="N15" s="166"/>
      <c r="O15" s="166"/>
      <c r="P15" s="166"/>
      <c r="Q15" s="166"/>
    </row>
    <row r="16" spans="2:25" ht="17.25" customHeight="1" thickBot="1">
      <c r="B16" s="40"/>
      <c r="C16" s="41"/>
      <c r="D16" s="41"/>
      <c r="E16" s="41"/>
      <c r="F16" s="41"/>
      <c r="G16" s="41"/>
      <c r="H16" s="41"/>
      <c r="I16" s="41"/>
      <c r="J16" s="41"/>
      <c r="K16" s="41"/>
      <c r="L16" s="44"/>
      <c r="N16" s="166"/>
      <c r="O16" s="166"/>
      <c r="P16" s="166"/>
      <c r="Q16" s="166"/>
    </row>
    <row r="17" spans="2:14" s="72" customFormat="1" ht="17.25" customHeight="1">
      <c r="B17" s="99" t="s">
        <v>130</v>
      </c>
      <c r="C17" s="158"/>
      <c r="D17" s="158"/>
      <c r="E17" s="158"/>
      <c r="F17" s="158"/>
      <c r="G17" s="158"/>
      <c r="H17" s="158"/>
      <c r="I17" s="158"/>
      <c r="J17" s="158"/>
      <c r="K17" s="158"/>
      <c r="L17" s="158"/>
    </row>
    <row r="18" spans="2:14" ht="17.25" customHeight="1" thickBot="1"/>
    <row r="19" spans="2:14" ht="17.25" customHeight="1">
      <c r="B19" s="110" t="s">
        <v>120</v>
      </c>
      <c r="C19" s="111"/>
      <c r="D19" s="112"/>
      <c r="E19" s="110" t="s">
        <v>121</v>
      </c>
      <c r="F19" s="111"/>
      <c r="G19" s="111"/>
      <c r="H19" s="112"/>
      <c r="I19" s="110" t="s">
        <v>141</v>
      </c>
      <c r="J19" s="111"/>
      <c r="K19" s="111"/>
      <c r="L19" s="112"/>
      <c r="N19" s="67"/>
    </row>
    <row r="20" spans="2:14" s="72" customFormat="1" ht="7.5" customHeight="1">
      <c r="B20" s="98"/>
      <c r="C20" s="54"/>
      <c r="D20" s="97"/>
      <c r="E20" s="98"/>
      <c r="F20" s="54"/>
      <c r="G20" s="54"/>
      <c r="H20" s="97"/>
      <c r="I20" s="98"/>
      <c r="J20" s="54"/>
      <c r="K20" s="54"/>
      <c r="L20" s="97"/>
    </row>
    <row r="21" spans="2:14" ht="17.25" customHeight="1">
      <c r="B21" s="157" t="s">
        <v>122</v>
      </c>
      <c r="C21" s="77">
        <v>15</v>
      </c>
      <c r="D21" s="39" t="s">
        <v>29</v>
      </c>
      <c r="E21" s="157" t="s">
        <v>122</v>
      </c>
      <c r="F21" s="54"/>
      <c r="G21" s="77">
        <v>20</v>
      </c>
      <c r="H21" s="39" t="s">
        <v>29</v>
      </c>
      <c r="I21" s="157" t="s">
        <v>122</v>
      </c>
      <c r="J21" s="54"/>
      <c r="K21" s="77">
        <v>25</v>
      </c>
      <c r="L21" s="39" t="s">
        <v>29</v>
      </c>
    </row>
    <row r="22" spans="2:14" ht="17.25" customHeight="1">
      <c r="B22" s="37" t="s">
        <v>123</v>
      </c>
      <c r="C22" s="154">
        <v>90</v>
      </c>
      <c r="D22" s="39" t="s">
        <v>124</v>
      </c>
      <c r="E22" s="37" t="s">
        <v>123</v>
      </c>
      <c r="F22" s="69"/>
      <c r="G22" s="154">
        <v>90</v>
      </c>
      <c r="H22" s="39" t="s">
        <v>124</v>
      </c>
      <c r="I22" s="37" t="s">
        <v>123</v>
      </c>
      <c r="J22" s="69"/>
      <c r="K22" s="154">
        <v>90</v>
      </c>
      <c r="L22" s="39" t="s">
        <v>124</v>
      </c>
    </row>
    <row r="23" spans="2:14" ht="17.25" customHeight="1" thickBot="1">
      <c r="B23" s="40"/>
      <c r="C23" s="41"/>
      <c r="D23" s="44"/>
      <c r="E23" s="40"/>
      <c r="F23" s="41"/>
      <c r="G23" s="41"/>
      <c r="H23" s="44"/>
      <c r="I23" s="40"/>
      <c r="J23" s="41"/>
      <c r="K23" s="41"/>
      <c r="L23" s="44"/>
    </row>
    <row r="24" spans="2:14" ht="17.25" customHeight="1">
      <c r="B24" s="32" t="s">
        <v>102</v>
      </c>
      <c r="C24" s="33"/>
      <c r="D24" s="36"/>
      <c r="E24" s="32" t="s">
        <v>102</v>
      </c>
      <c r="F24" s="33"/>
      <c r="G24" s="33"/>
      <c r="H24" s="36"/>
      <c r="I24" s="32" t="s">
        <v>102</v>
      </c>
      <c r="J24" s="33"/>
      <c r="K24" s="33"/>
      <c r="L24" s="36"/>
    </row>
    <row r="25" spans="2:14" ht="17.25" customHeight="1">
      <c r="B25" s="216"/>
      <c r="C25" s="217"/>
      <c r="D25" s="218"/>
      <c r="E25" s="216"/>
      <c r="F25" s="217"/>
      <c r="G25" s="217"/>
      <c r="H25" s="218"/>
      <c r="I25" s="216"/>
      <c r="J25" s="217"/>
      <c r="K25" s="217"/>
      <c r="L25" s="218"/>
    </row>
    <row r="26" spans="2:14" ht="17.25" customHeight="1">
      <c r="B26" s="216"/>
      <c r="C26" s="217"/>
      <c r="D26" s="218"/>
      <c r="E26" s="216"/>
      <c r="F26" s="217"/>
      <c r="G26" s="217"/>
      <c r="H26" s="218"/>
      <c r="I26" s="216"/>
      <c r="J26" s="217"/>
      <c r="K26" s="217"/>
      <c r="L26" s="218"/>
    </row>
    <row r="27" spans="2:14" ht="17.25" customHeight="1" thickBot="1">
      <c r="B27" s="219"/>
      <c r="C27" s="220"/>
      <c r="D27" s="221"/>
      <c r="E27" s="219"/>
      <c r="F27" s="220"/>
      <c r="G27" s="220"/>
      <c r="H27" s="221"/>
      <c r="I27" s="219"/>
      <c r="J27" s="220"/>
      <c r="K27" s="220"/>
      <c r="L27" s="221"/>
    </row>
    <row r="28" spans="2:14" ht="17.25" customHeight="1">
      <c r="B28" s="99"/>
    </row>
    <row r="30" spans="2:14" ht="18.75">
      <c r="B30" s="151" t="s">
        <v>99</v>
      </c>
    </row>
    <row r="31" spans="2:14" ht="15.75" thickBot="1"/>
    <row r="32" spans="2:14">
      <c r="B32" s="94"/>
      <c r="C32" s="80" t="s">
        <v>41</v>
      </c>
      <c r="D32" s="75" t="s">
        <v>35</v>
      </c>
      <c r="E32" s="75" t="s">
        <v>36</v>
      </c>
      <c r="F32" s="75" t="s">
        <v>37</v>
      </c>
      <c r="G32" s="75" t="s">
        <v>38</v>
      </c>
      <c r="H32" s="75" t="s">
        <v>39</v>
      </c>
      <c r="I32" s="75" t="s">
        <v>42</v>
      </c>
      <c r="J32" s="76" t="s">
        <v>74</v>
      </c>
    </row>
    <row r="33" spans="2:10">
      <c r="B33" s="88" t="s">
        <v>57</v>
      </c>
      <c r="C33" s="101" t="str">
        <f>IF(C35&lt;&gt;"",C35/(Dateneingabe!$E$12*1000*Dateneingabe!$D$34)*3600,"")</f>
        <v/>
      </c>
      <c r="D33" s="101">
        <f>IF(D35&lt;&gt;"",D35/(Dateneingabe!$E$12*1000*Dateneingabe!$D$34)*3600,"")</f>
        <v>3.0275579139002988</v>
      </c>
      <c r="E33" s="101">
        <f>IF(E35&lt;&gt;"",E35/(Dateneingabe!$E$12*1000*Dateneingabe!$D$34)*3600,"")</f>
        <v>1.4491113349656812</v>
      </c>
      <c r="F33" s="101">
        <f>IF(F35&lt;&gt;"",F35/(Dateneingabe!$E$12*1000*Dateneingabe!$D$34)*3600,"")</f>
        <v>1.6413811254375741</v>
      </c>
      <c r="G33" s="101">
        <f>IF(G35&lt;&gt;"",G35/(Dateneingabe!$E$12*1000*Dateneingabe!$D$34)*3600,"")</f>
        <v>1.7480198121167485</v>
      </c>
      <c r="H33" s="101">
        <f>IF(H35&lt;&gt;"",H35/(Dateneingabe!$E$12*1000*Dateneingabe!$D$34)*3600,"")</f>
        <v>1.9794397714441765</v>
      </c>
      <c r="I33" s="101" t="str">
        <f>IF(I35&lt;&gt;"",I35/(Dateneingabe!$E$12*1000*Dateneingabe!$D$34)*3600,"")</f>
        <v/>
      </c>
      <c r="J33" s="86"/>
    </row>
    <row r="34" spans="2:10">
      <c r="B34" s="88" t="s">
        <v>64</v>
      </c>
      <c r="C34" s="115" t="str">
        <f>IF(Dateneingabe!E16&lt;&gt;"",Dateneingabe!E16,"")</f>
        <v/>
      </c>
      <c r="D34" s="113">
        <f>IF(Dateneingabe!E17&lt;&gt;"",Dateneingabe!E17,"")</f>
        <v>11</v>
      </c>
      <c r="E34" s="113">
        <f>IF(Dateneingabe!E18&lt;&gt;"",Dateneingabe!E18,"")</f>
        <v>20</v>
      </c>
      <c r="F34" s="113">
        <f>IF(Dateneingabe!E19&lt;&gt;"",Dateneingabe!E19,"")</f>
        <v>20</v>
      </c>
      <c r="G34" s="113">
        <f>IF(Dateneingabe!E20&lt;&gt;"",Dateneingabe!E20,"")</f>
        <v>18</v>
      </c>
      <c r="H34" s="113">
        <f>IF(Dateneingabe!E21&lt;&gt;"",Dateneingabe!E21,"")</f>
        <v>17</v>
      </c>
      <c r="I34" s="114" t="str">
        <f>IF(Dateneingabe!E22&lt;&gt;"",Dateneingabe!E22,"")</f>
        <v/>
      </c>
      <c r="J34" s="86"/>
    </row>
    <row r="35" spans="2:10">
      <c r="B35" s="88" t="s">
        <v>138</v>
      </c>
      <c r="C35" s="101" t="str">
        <f>IF(C34&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5" s="101">
        <f>IF(D34&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5" s="101">
        <f>IF(E34&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5" s="101">
        <f>IF(F34&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5" s="101">
        <f>IF(G34&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5" s="101">
        <f>IF(H34&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5" s="102" t="str">
        <f>IF(I34&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5" s="87"/>
    </row>
    <row r="36" spans="2:10" ht="15.75" thickBot="1">
      <c r="B36" s="93"/>
      <c r="C36" s="90"/>
      <c r="D36" s="91"/>
      <c r="E36" s="91"/>
      <c r="F36" s="91"/>
      <c r="G36" s="91"/>
      <c r="H36" s="91"/>
      <c r="I36" s="92"/>
      <c r="J36" s="93"/>
    </row>
    <row r="37" spans="2:10">
      <c r="B37" s="103" t="s">
        <v>120</v>
      </c>
      <c r="C37" s="149"/>
      <c r="D37" s="149"/>
      <c r="E37" s="149"/>
      <c r="F37" s="149"/>
      <c r="G37" s="149"/>
      <c r="H37" s="149"/>
      <c r="I37" s="149"/>
      <c r="J37" s="150"/>
    </row>
    <row r="38" spans="2:10">
      <c r="B38" s="88" t="s">
        <v>140</v>
      </c>
      <c r="C38" s="101" t="str">
        <f>IF(C$33&lt;&gt;"",SUMIFS(Hilfsdaten!$C$36:$C$323,Hilfsdaten!$A$36:$A$323,4)/1000*$C$21*$C$22/100,"")</f>
        <v/>
      </c>
      <c r="D38" s="101">
        <f>IF(D$33&lt;&gt;"",SUMIFS(Hilfsdaten!$C$36:$C$323,Hilfsdaten!$A$36:$A$323,5)/1000*$C$21*$C$22/100,"")</f>
        <v>67.613534999999999</v>
      </c>
      <c r="E38" s="101">
        <f>IF(E$33&lt;&gt;"",SUMIFS(Hilfsdaten!$C$36:$C$323,Hilfsdaten!$A$36:$A$323,6)/1000*$C$21*$C$22/100,"")</f>
        <v>75.663045000000011</v>
      </c>
      <c r="F38" s="101">
        <f>IF(F$33&lt;&gt;"",SUMIFS(Hilfsdaten!$C$36:$C$323,Hilfsdaten!$A$36:$A$323,7)/1000*$C$21*$C$22/100,"")</f>
        <v>71.928269999999998</v>
      </c>
      <c r="G38" s="101">
        <f>IF(G$33&lt;&gt;"",SUMIFS(Hilfsdaten!$C$36:$C$323,Hilfsdaten!$A$36:$A$323,8)/1000*$C$21*$C$22/100,"")</f>
        <v>61.065359999999991</v>
      </c>
      <c r="H38" s="101">
        <f>IF(H$33&lt;&gt;"",SUMIFS(Hilfsdaten!$C$36:$C$323,Hilfsdaten!$A$36:$A$323,9)/1000*$C$21*$C$22/100,"")</f>
        <v>44.674334999999999</v>
      </c>
      <c r="I38" s="101" t="str">
        <f>IF(I$33&lt;&gt;"",SUMIFS(Hilfsdaten!$C$36:$C$323,Hilfsdaten!$A$36:$A$323,10)/1000*$C$21*$C$22/100,"")</f>
        <v/>
      </c>
      <c r="J38" s="89"/>
    </row>
    <row r="39" spans="2:10">
      <c r="B39" s="88" t="s">
        <v>139</v>
      </c>
      <c r="C39" s="124" t="str">
        <f>IF(C$33&lt;&gt;"",C38/C$35*100,"")</f>
        <v/>
      </c>
      <c r="D39" s="125">
        <f t="shared" ref="D39:I39" si="0">IF(D$33&lt;&gt;"",D38/D$35*100,"")</f>
        <v>86.97693552910188</v>
      </c>
      <c r="E39" s="125">
        <f t="shared" si="0"/>
        <v>203.35037641254038</v>
      </c>
      <c r="F39" s="125">
        <f t="shared" si="0"/>
        <v>170.6683928429392</v>
      </c>
      <c r="G39" s="125">
        <f t="shared" si="0"/>
        <v>136.05405498865039</v>
      </c>
      <c r="H39" s="125">
        <f t="shared" si="0"/>
        <v>87.897945387442789</v>
      </c>
      <c r="I39" s="127" t="str">
        <f t="shared" si="0"/>
        <v/>
      </c>
      <c r="J39" s="89"/>
    </row>
    <row r="40" spans="2:10">
      <c r="B40" s="88" t="s">
        <v>79</v>
      </c>
      <c r="C40" s="83" t="str">
        <f>IF(C$33&lt;&gt;"",C$35/(C38/Dateneingabe!$F$16),"")</f>
        <v/>
      </c>
      <c r="D40" s="79">
        <f>IF(D$33&lt;&gt;"",D$35/(D38/Dateneingabe!$F$17),"")</f>
        <v>18.200227340388867</v>
      </c>
      <c r="E40" s="79">
        <f>IF(E$33&lt;&gt;"",E$35/(E38/Dateneingabe!$F$18),"")</f>
        <v>8.3009435722682205</v>
      </c>
      <c r="F40" s="79">
        <f>IF(F$33&lt;&gt;"",F$35/(F38/Dateneingabe!$F$19),"")</f>
        <v>9.6209964402200807</v>
      </c>
      <c r="G40" s="79">
        <f>IF(G$33&lt;&gt;"",G$35/(G38/Dateneingabe!$F$20),"")</f>
        <v>10.84127922628285</v>
      </c>
      <c r="H40" s="79">
        <f>IF(H$33&lt;&gt;"",H$35/(H38/Dateneingabe!$F$21),"")</f>
        <v>14.505458510775931</v>
      </c>
      <c r="I40" s="121" t="str">
        <f>IF(I$33&lt;&gt;"",I$35/(I38/Dateneingabe!$F$22),"")</f>
        <v/>
      </c>
      <c r="J40" s="89"/>
    </row>
    <row r="41" spans="2:10">
      <c r="B41" s="88" t="s">
        <v>112</v>
      </c>
      <c r="C41" s="125" t="str">
        <f>IF(AND(C$33&lt;&gt;"",C40&gt;Dateneingabe!$C$44),(C40-Dateneingabe!$C$44)*Dateneingabe!$E$41*30,"")</f>
        <v/>
      </c>
      <c r="D41" s="125">
        <f>IF(AND(D$33&lt;&gt;"",D40&gt;Dateneingabe!$C$45),(D40-Dateneingabe!$C$45)*Dateneingabe!$E$41*31,"")</f>
        <v>185.32145330050687</v>
      </c>
      <c r="E41" s="125">
        <f>IF(AND(E$33&lt;&gt;"",E40&gt;Dateneingabe!$C$46),(E40-Dateneingabe!$C$46)*Dateneingabe!$E$41*30,"")</f>
        <v>4.4238705123428428</v>
      </c>
      <c r="F41" s="125">
        <f>IF(AND(F$33&lt;&gt;"",F40&gt;Dateneingabe!$C$47),(F40-Dateneingabe!$C$47)*Dateneingabe!$E$41*31,"")</f>
        <v>24.622935926943025</v>
      </c>
      <c r="G41" s="125">
        <f>IF(AND(G$33&lt;&gt;"",G40&gt;Dateneingabe!$C$48),(G40-Dateneingabe!$C$48)*Dateneingabe!$E$41*31,"")</f>
        <v>73.539031447236496</v>
      </c>
      <c r="H41" s="125">
        <f>IF(AND(H$33&lt;&gt;"",H40&gt;Dateneingabe!$C$49),(H40-Dateneingabe!$C$49)*Dateneingabe!$E$41*30,"")</f>
        <v>125.03024010840619</v>
      </c>
      <c r="I41" s="125" t="str">
        <f>IF(AND(I$33&lt;&gt;"",I40&gt;Dateneingabe!$C$50),(I40-Dateneingabe!$C$50)*Dateneingabe!$E$41*31,"")</f>
        <v/>
      </c>
      <c r="J41" s="122">
        <f>SUM(C41:I41)</f>
        <v>412.93753129543541</v>
      </c>
    </row>
    <row r="42" spans="2:10">
      <c r="B42" s="88" t="s">
        <v>110</v>
      </c>
      <c r="C42" s="124" t="str">
        <f>IF(C41&lt;&gt;"",C41*Dateneingabe!$D$26,"")</f>
        <v/>
      </c>
      <c r="D42" s="125">
        <f>IF(D41&lt;&gt;"",D41*Dateneingabe!$D$26,"")</f>
        <v>53.743221457146987</v>
      </c>
      <c r="E42" s="125">
        <f>IF(E41&lt;&gt;"",E41*Dateneingabe!$D$26,"")</f>
        <v>1.2829224485794244</v>
      </c>
      <c r="F42" s="125">
        <f>IF(F41&lt;&gt;"",F41*Dateneingabe!$D$26,"")</f>
        <v>7.1406514188134773</v>
      </c>
      <c r="G42" s="125">
        <f>IF(G41&lt;&gt;"",G41*Dateneingabe!$D$26,"")</f>
        <v>21.326319119698582</v>
      </c>
      <c r="H42" s="125">
        <f>IF(H41&lt;&gt;"",H41*Dateneingabe!$D$26,"")</f>
        <v>36.258769631437794</v>
      </c>
      <c r="I42" s="127" t="str">
        <f>IF(I41&lt;&gt;"",I41*Dateneingabe!$D$26,"")</f>
        <v/>
      </c>
      <c r="J42" s="122">
        <f>SUM(C42:I42)</f>
        <v>119.75188407567626</v>
      </c>
    </row>
    <row r="43" spans="2:10">
      <c r="B43" s="88"/>
      <c r="C43" s="167" t="str">
        <f>IF(AND(C$33&lt;&gt;"",C40&gt;Dateneingabe!$D$44),"Laufzeit!","")</f>
        <v/>
      </c>
      <c r="D43" s="168" t="str">
        <f>IF(AND(D$33&lt;&gt;"",D40&gt;Dateneingabe!$D$45),"Laufzeit!","")</f>
        <v>Laufzeit!</v>
      </c>
      <c r="E43" s="168" t="str">
        <f>IF(AND(E$33&lt;&gt;"",E40&gt;Dateneingabe!$D$46),"Laufzeit!","")</f>
        <v/>
      </c>
      <c r="F43" s="168" t="str">
        <f>IF(AND(F$33&lt;&gt;"",F40&gt;Dateneingabe!$D$47),"Laufzeit!","")</f>
        <v/>
      </c>
      <c r="G43" s="168" t="str">
        <f>IF(AND(G$33&lt;&gt;"",G40&gt;Dateneingabe!$D$48),"Laufzeit!","")</f>
        <v>Laufzeit!</v>
      </c>
      <c r="H43" s="168" t="str">
        <f>IF(AND(H$33&lt;&gt;"",H40&gt;Dateneingabe!$D$49),"Laufzeit!","")</f>
        <v>Laufzeit!</v>
      </c>
      <c r="I43" s="169" t="str">
        <f>IF(AND(I$33&lt;&gt;"",I40&gt;Dateneingabe!$D$50),"Laufzeit!","")</f>
        <v/>
      </c>
      <c r="J43" s="170"/>
    </row>
    <row r="44" spans="2:10" ht="15.75" thickBot="1">
      <c r="B44" s="93"/>
      <c r="C44" s="90"/>
      <c r="D44" s="91"/>
      <c r="E44" s="91"/>
      <c r="F44" s="91"/>
      <c r="G44" s="91"/>
      <c r="H44" s="91"/>
      <c r="I44" s="92"/>
      <c r="J44" s="93"/>
    </row>
    <row r="45" spans="2:10">
      <c r="B45" s="103" t="s">
        <v>121</v>
      </c>
      <c r="C45" s="149"/>
      <c r="D45" s="149"/>
      <c r="E45" s="149"/>
      <c r="F45" s="149"/>
      <c r="G45" s="149"/>
      <c r="H45" s="149"/>
      <c r="I45" s="149"/>
      <c r="J45" s="150"/>
    </row>
    <row r="46" spans="2:10">
      <c r="B46" s="88" t="s">
        <v>140</v>
      </c>
      <c r="C46" s="101" t="str">
        <f>IF(C$33&lt;&gt;"",SUMIFS(Hilfsdaten!$C$36:$C$323,Hilfsdaten!$A$36:$A$323,4)/1000*$G$21*$G$22/100,"")</f>
        <v/>
      </c>
      <c r="D46" s="101">
        <f>IF(D$33&lt;&gt;"",SUMIFS(Hilfsdaten!$C$36:$C$323,Hilfsdaten!$A$36:$A$323,5)/1000*$G$21*$G$22/100,"")</f>
        <v>90.151379999999989</v>
      </c>
      <c r="E46" s="101">
        <f>IF(E$33&lt;&gt;"",SUMIFS(Hilfsdaten!$C$36:$C$323,Hilfsdaten!$A$36:$A$323,6)/1000*$G$21*$G$22/100,"")</f>
        <v>100.88406000000001</v>
      </c>
      <c r="F46" s="101">
        <f>IF(F$33&lt;&gt;"",SUMIFS(Hilfsdaten!$C$36:$C$323,Hilfsdaten!$A$36:$A$323,7)/1000*$G$21*$G$22/100,"")</f>
        <v>95.904359999999997</v>
      </c>
      <c r="G46" s="101">
        <f>IF(G$33&lt;&gt;"",SUMIFS(Hilfsdaten!$C$36:$C$323,Hilfsdaten!$A$36:$A$323,8)/1000*$G$21*$G$22/100,"")</f>
        <v>81.420479999999984</v>
      </c>
      <c r="H46" s="101">
        <f>IF(H$33&lt;&gt;"",SUMIFS(Hilfsdaten!$C$36:$C$323,Hilfsdaten!$A$36:$A$323,9)/1000*$G$21*$G$22/100,"")</f>
        <v>59.565780000000004</v>
      </c>
      <c r="I46" s="101" t="str">
        <f>IF(I$33&lt;&gt;"",SUMIFS(Hilfsdaten!$C$36:$C$323,Hilfsdaten!$A$36:$A$323,10)/1000*$G$21*$G$22/100,"")</f>
        <v/>
      </c>
      <c r="J46" s="89"/>
    </row>
    <row r="47" spans="2:10">
      <c r="B47" s="88" t="s">
        <v>139</v>
      </c>
      <c r="C47" s="124" t="str">
        <f>IF(C$33&lt;&gt;"",C46/C$35*100,"")</f>
        <v/>
      </c>
      <c r="D47" s="125">
        <f t="shared" ref="D47" si="1">IF(D$33&lt;&gt;"",D46/D$35*100,"")</f>
        <v>115.96924737213583</v>
      </c>
      <c r="E47" s="125">
        <f t="shared" ref="E47" si="2">IF(E$33&lt;&gt;"",E46/E$35*100,"")</f>
        <v>271.13383521672046</v>
      </c>
      <c r="F47" s="125">
        <f t="shared" ref="F47" si="3">IF(F$33&lt;&gt;"",F46/F$35*100,"")</f>
        <v>227.55785712391892</v>
      </c>
      <c r="G47" s="125">
        <f t="shared" ref="G47" si="4">IF(G$33&lt;&gt;"",G46/G$35*100,"")</f>
        <v>181.40540665153384</v>
      </c>
      <c r="H47" s="125">
        <f t="shared" ref="H47" si="5">IF(H$33&lt;&gt;"",H46/H$35*100,"")</f>
        <v>117.19726051659039</v>
      </c>
      <c r="I47" s="127" t="str">
        <f t="shared" ref="I47" si="6">IF(I$33&lt;&gt;"",I46/I$35*100,"")</f>
        <v/>
      </c>
      <c r="J47" s="89"/>
    </row>
    <row r="48" spans="2:10">
      <c r="B48" s="88" t="s">
        <v>79</v>
      </c>
      <c r="C48" s="83" t="str">
        <f>IF(C$33&lt;&gt;"",C$35/(C46/Dateneingabe!$F$16),"")</f>
        <v/>
      </c>
      <c r="D48" s="79">
        <f>IF(D$33&lt;&gt;"",D$35/(D46/Dateneingabe!$F$17),"")</f>
        <v>13.650170505291653</v>
      </c>
      <c r="E48" s="79">
        <f>IF(E$33&lt;&gt;"",E$35/(E46/Dateneingabe!$F$18),"")</f>
        <v>6.2257076792011645</v>
      </c>
      <c r="F48" s="79">
        <f>IF(F$33&lt;&gt;"",F$35/(F46/Dateneingabe!$F$19),"")</f>
        <v>7.2157473301650592</v>
      </c>
      <c r="G48" s="79">
        <f>IF(G$33&lt;&gt;"",G$35/(G46/Dateneingabe!$F$20),"")</f>
        <v>8.1309594197121378</v>
      </c>
      <c r="H48" s="79">
        <f>IF(H$33&lt;&gt;"",H$35/(H46/Dateneingabe!$F$21),"")</f>
        <v>10.879093883081948</v>
      </c>
      <c r="I48" s="121" t="str">
        <f>IF(I$33&lt;&gt;"",I$35/(I46/Dateneingabe!$F$22),"")</f>
        <v/>
      </c>
      <c r="J48" s="89"/>
    </row>
    <row r="49" spans="2:10">
      <c r="B49" s="88" t="s">
        <v>112</v>
      </c>
      <c r="C49" s="125" t="str">
        <f>IF(AND(C$33&lt;&gt;"",C48&gt;Dateneingabe!$C$44),(C48-Dateneingabe!$C$44)*Dateneingabe!$E$41*30,"")</f>
        <v/>
      </c>
      <c r="D49" s="125">
        <f>IF(AND(D$33&lt;&gt;"",D48&gt;Dateneingabe!$C$45),(D48-Dateneingabe!$C$45)*Dateneingabe!$E$41*31,"")</f>
        <v>116.20608997538021</v>
      </c>
      <c r="E49" s="125" t="str">
        <f>IF(AND(E$33&lt;&gt;"",E48&gt;Dateneingabe!$C$46),(E48-Dateneingabe!$C$46)*Dateneingabe!$E$41*30,"")</f>
        <v/>
      </c>
      <c r="F49" s="125" t="str">
        <f>IF(AND(F$33&lt;&gt;"",F48&gt;Dateneingabe!$C$47),(F48-Dateneingabe!$C$47)*Dateneingabe!$E$41*31,"")</f>
        <v/>
      </c>
      <c r="G49" s="125">
        <f>IF(AND(G$33&lt;&gt;"",G48&gt;Dateneingabe!$C$48),(G48-Dateneingabe!$C$48)*Dateneingabe!$E$41*31,"")</f>
        <v>32.369273585427372</v>
      </c>
      <c r="H49" s="125">
        <f>IF(AND(H$33&lt;&gt;"",H48&gt;Dateneingabe!$C$49),(H48-Dateneingabe!$C$49)*Dateneingabe!$E$41*30,"")</f>
        <v>71.722680081304631</v>
      </c>
      <c r="I49" s="125" t="str">
        <f>IF(AND(I$33&lt;&gt;"",I48&gt;Dateneingabe!$C$50),(I48-Dateneingabe!$C$50)*Dateneingabe!$E$41*31,"")</f>
        <v/>
      </c>
      <c r="J49" s="122"/>
    </row>
    <row r="50" spans="2:10">
      <c r="B50" s="88" t="s">
        <v>110</v>
      </c>
      <c r="C50" s="124" t="str">
        <f>IF(C49&lt;&gt;"",C49*Dateneingabe!$D$26,"")</f>
        <v/>
      </c>
      <c r="D50" s="125">
        <f>IF(D49&lt;&gt;"",D49*Dateneingabe!$D$26,"")</f>
        <v>33.699766092860258</v>
      </c>
      <c r="E50" s="125" t="str">
        <f>IF(E49&lt;&gt;"",E49*Dateneingabe!$D$26,"")</f>
        <v/>
      </c>
      <c r="F50" s="125" t="str">
        <f>IF(F49&lt;&gt;"",F49*Dateneingabe!$D$26,"")</f>
        <v/>
      </c>
      <c r="G50" s="125">
        <f>IF(G49&lt;&gt;"",G49*Dateneingabe!$D$26,"")</f>
        <v>9.3870893397739366</v>
      </c>
      <c r="H50" s="125">
        <f>IF(H49&lt;&gt;"",H49*Dateneingabe!$D$26,"")</f>
        <v>20.799577223578343</v>
      </c>
      <c r="I50" s="127" t="str">
        <f>IF(I49&lt;&gt;"",I49*Dateneingabe!$D$26,"")</f>
        <v/>
      </c>
      <c r="J50" s="122"/>
    </row>
    <row r="51" spans="2:10">
      <c r="B51" s="142"/>
      <c r="C51" s="167" t="str">
        <f>IF(AND(C$33&lt;&gt;"",C48&gt;Dateneingabe!$D$44),"Laufzeit!","")</f>
        <v/>
      </c>
      <c r="D51" s="168" t="str">
        <f>IF(AND(D$33&lt;&gt;"",D48&gt;Dateneingabe!$D$45),"Laufzeit!","")</f>
        <v>Laufzeit!</v>
      </c>
      <c r="E51" s="168" t="str">
        <f>IF(AND(E$33&lt;&gt;"",E48&gt;Dateneingabe!$D$46),"Laufzeit!","")</f>
        <v/>
      </c>
      <c r="F51" s="168" t="str">
        <f>IF(AND(F$33&lt;&gt;"",F48&gt;Dateneingabe!$D$47),"Laufzeit!","")</f>
        <v/>
      </c>
      <c r="G51" s="168" t="str">
        <f>IF(AND(G$33&lt;&gt;"",G48&gt;Dateneingabe!$D$48),"Laufzeit!","")</f>
        <v/>
      </c>
      <c r="H51" s="168" t="str">
        <f>IF(AND(H$33&lt;&gt;"",H48&gt;Dateneingabe!$D$49),"Laufzeit!","")</f>
        <v>Laufzeit!</v>
      </c>
      <c r="I51" s="169" t="str">
        <f>IF(AND(I$33&lt;&gt;"",I48&gt;Dateneingabe!$D$50),"Laufzeit!","")</f>
        <v/>
      </c>
      <c r="J51" s="143"/>
    </row>
    <row r="52" spans="2:10" ht="15.75" thickBot="1">
      <c r="B52" s="93"/>
      <c r="C52" s="90"/>
      <c r="D52" s="91"/>
      <c r="E52" s="91"/>
      <c r="F52" s="91"/>
      <c r="G52" s="91"/>
      <c r="H52" s="91"/>
      <c r="I52" s="92"/>
      <c r="J52" s="93"/>
    </row>
    <row r="53" spans="2:10">
      <c r="B53" s="103" t="s">
        <v>141</v>
      </c>
      <c r="C53" s="149"/>
      <c r="D53" s="149"/>
      <c r="E53" s="149"/>
      <c r="F53" s="149"/>
      <c r="G53" s="149"/>
      <c r="H53" s="149"/>
      <c r="I53" s="149"/>
      <c r="J53" s="150"/>
    </row>
    <row r="54" spans="2:10">
      <c r="B54" s="88" t="s">
        <v>140</v>
      </c>
      <c r="C54" s="101" t="str">
        <f>IF(C$33&lt;&gt;"",SUMIFS(Hilfsdaten!$C$36:$C$323,Hilfsdaten!$A$36:$A$323,4)/1000*$K$21*$K$22/100,"")</f>
        <v/>
      </c>
      <c r="D54" s="101">
        <f>IF(D$33&lt;&gt;"",SUMIFS(Hilfsdaten!$C$36:$C$323,Hilfsdaten!$A$36:$A$323,5)/1000*$K$21*$K$22/100,"")</f>
        <v>112.68922499999999</v>
      </c>
      <c r="E54" s="101">
        <f>IF(E$33&lt;&gt;"",SUMIFS(Hilfsdaten!$C$36:$C$323,Hilfsdaten!$A$36:$A$323,6)/1000*$K$21*$K$22/100,"")</f>
        <v>126.10507500000001</v>
      </c>
      <c r="F54" s="101">
        <f>IF(F$33&lt;&gt;"",SUMIFS(Hilfsdaten!$C$36:$C$323,Hilfsdaten!$A$36:$A$323,7)/1000*$K$21*$K$22/100,"")</f>
        <v>119.88044999999998</v>
      </c>
      <c r="G54" s="101">
        <f>IF(G$33&lt;&gt;"",SUMIFS(Hilfsdaten!$C$36:$C$323,Hilfsdaten!$A$36:$A$323,8)/1000*$K$21*$K$22/100,"")</f>
        <v>101.7756</v>
      </c>
      <c r="H54" s="101">
        <f>IF(H$33&lt;&gt;"",SUMIFS(Hilfsdaten!$C$36:$C$323,Hilfsdaten!$A$36:$A$323,9)/1000*$K$21*$K$22/100,"")</f>
        <v>74.457225000000008</v>
      </c>
      <c r="I54" s="101" t="str">
        <f>IF(I$33&lt;&gt;"",SUMIFS(Hilfsdaten!$C$36:$C$323,Hilfsdaten!$A$36:$A$323,10)/1000*$K$21*$K$22/100,"")</f>
        <v/>
      </c>
      <c r="J54" s="89"/>
    </row>
    <row r="55" spans="2:10">
      <c r="B55" s="88" t="s">
        <v>139</v>
      </c>
      <c r="C55" s="124" t="str">
        <f>IF(C$33&lt;&gt;"",C54/C$35*100,"")</f>
        <v/>
      </c>
      <c r="D55" s="125">
        <f t="shared" ref="D55" si="7">IF(D$33&lt;&gt;"",D54/D$35*100,"")</f>
        <v>144.96155921516981</v>
      </c>
      <c r="E55" s="125">
        <f t="shared" ref="E55" si="8">IF(E$33&lt;&gt;"",E54/E$35*100,"")</f>
        <v>338.91729402090061</v>
      </c>
      <c r="F55" s="125">
        <f t="shared" ref="F55" si="9">IF(F$33&lt;&gt;"",F54/F$35*100,"")</f>
        <v>284.44732140489862</v>
      </c>
      <c r="G55" s="125">
        <f t="shared" ref="G55" si="10">IF(G$33&lt;&gt;"",G54/G$35*100,"")</f>
        <v>226.75675831441734</v>
      </c>
      <c r="H55" s="125">
        <f t="shared" ref="H55" si="11">IF(H$33&lt;&gt;"",H54/H$35*100,"")</f>
        <v>146.49657564573801</v>
      </c>
      <c r="I55" s="127" t="str">
        <f t="shared" ref="I55" si="12">IF(I$33&lt;&gt;"",I54/I$35*100,"")</f>
        <v/>
      </c>
      <c r="J55" s="89"/>
    </row>
    <row r="56" spans="2:10">
      <c r="B56" s="88" t="s">
        <v>79</v>
      </c>
      <c r="C56" s="83" t="str">
        <f>IF(C$33&lt;&gt;"",C$35/(C54/Dateneingabe!$F$16),"")</f>
        <v/>
      </c>
      <c r="D56" s="79">
        <f>IF(D$33&lt;&gt;"",D$35/(D54/Dateneingabe!$F$17),"")</f>
        <v>10.920136404233322</v>
      </c>
      <c r="E56" s="79">
        <f>IF(E$33&lt;&gt;"",E$35/(E54/Dateneingabe!$F$18),"")</f>
        <v>4.9805661433609316</v>
      </c>
      <c r="F56" s="79">
        <f>IF(F$33&lt;&gt;"",F$35/(F54/Dateneingabe!$F$19),"")</f>
        <v>5.7725978641320488</v>
      </c>
      <c r="G56" s="79">
        <f>IF(G$33&lt;&gt;"",G$35/(G54/Dateneingabe!$F$20),"")</f>
        <v>6.5047675357697088</v>
      </c>
      <c r="H56" s="79">
        <f>IF(H$33&lt;&gt;"",H$35/(H54/Dateneingabe!$F$21),"")</f>
        <v>8.7032751064655578</v>
      </c>
      <c r="I56" s="121" t="str">
        <f>IF(I$33&lt;&gt;"",I$35/(I54/Dateneingabe!$F$22),"")</f>
        <v/>
      </c>
      <c r="J56" s="89"/>
    </row>
    <row r="57" spans="2:10">
      <c r="B57" s="88" t="s">
        <v>112</v>
      </c>
      <c r="C57" s="125" t="str">
        <f>IF(AND(C$33&lt;&gt;"",C56&gt;Dateneingabe!$C$44),(C56-Dateneingabe!$C$44)*Dateneingabe!$E$41*30,"")</f>
        <v/>
      </c>
      <c r="D57" s="125">
        <f>IF(AND(D$33&lt;&gt;"",D56&gt;Dateneingabe!$C$45),(D56-Dateneingabe!$C$45)*Dateneingabe!$E$41*31,"")</f>
        <v>74.736871980304159</v>
      </c>
      <c r="E57" s="125" t="str">
        <f>IF(AND(E$33&lt;&gt;"",E56&gt;Dateneingabe!$C$46),(E56-Dateneingabe!$C$46)*Dateneingabe!$E$41*30,"")</f>
        <v/>
      </c>
      <c r="F57" s="125" t="str">
        <f>IF(AND(F$33&lt;&gt;"",F56&gt;Dateneingabe!$C$47),(F56-Dateneingabe!$C$47)*Dateneingabe!$E$41*31,"")</f>
        <v/>
      </c>
      <c r="G57" s="125">
        <f>IF(AND(G$33&lt;&gt;"",G56&gt;Dateneingabe!$C$48),(G56-Dateneingabe!$C$48)*Dateneingabe!$E$41*31,"")</f>
        <v>7.6674188683418762</v>
      </c>
      <c r="H57" s="125">
        <f>IF(AND(H$33&lt;&gt;"",H56&gt;Dateneingabe!$C$49),(H56-Dateneingabe!$C$49)*Dateneingabe!$E$41*30,"")</f>
        <v>39.738144065043699</v>
      </c>
      <c r="I57" s="125" t="str">
        <f>IF(AND(I$33&lt;&gt;"",I56&gt;Dateneingabe!$C$50),(I56-Dateneingabe!$C$50)*Dateneingabe!$E$41*31,"")</f>
        <v/>
      </c>
      <c r="J57" s="122">
        <f>SUM(C57:I57)</f>
        <v>122.14243491368974</v>
      </c>
    </row>
    <row r="58" spans="2:10">
      <c r="B58" s="88" t="s">
        <v>110</v>
      </c>
      <c r="C58" s="124" t="str">
        <f>IF(C57&lt;&gt;"",C57*Dateneingabe!$D$26,"")</f>
        <v/>
      </c>
      <c r="D58" s="125">
        <f>IF(D57&lt;&gt;"",D57*Dateneingabe!$D$26,"")</f>
        <v>21.673692874288204</v>
      </c>
      <c r="E58" s="125" t="str">
        <f>IF(E57&lt;&gt;"",E57*Dateneingabe!$D$26,"")</f>
        <v/>
      </c>
      <c r="F58" s="125" t="str">
        <f>IF(F57&lt;&gt;"",F57*Dateneingabe!$D$26,"")</f>
        <v/>
      </c>
      <c r="G58" s="125">
        <f>IF(G57&lt;&gt;"",G57*Dateneingabe!$D$26,"")</f>
        <v>2.2235514718191438</v>
      </c>
      <c r="H58" s="125">
        <f>IF(H57&lt;&gt;"",H57*Dateneingabe!$D$26,"")</f>
        <v>11.524061778862672</v>
      </c>
      <c r="I58" s="127" t="str">
        <f>IF(I57&lt;&gt;"",I57*Dateneingabe!$D$26,"")</f>
        <v/>
      </c>
      <c r="J58" s="122">
        <f>SUM(C58:I58)</f>
        <v>35.421306124970016</v>
      </c>
    </row>
    <row r="59" spans="2:10">
      <c r="B59" s="142"/>
      <c r="C59" s="167" t="str">
        <f>IF(AND(C$33&lt;&gt;"",C56&gt;Dateneingabe!$D$44),"Laufzeit!","")</f>
        <v/>
      </c>
      <c r="D59" s="168" t="str">
        <f>IF(AND(D$33&lt;&gt;"",D56&gt;Dateneingabe!$D$45),"Laufzeit!","")</f>
        <v>Laufzeit!</v>
      </c>
      <c r="E59" s="168" t="str">
        <f>IF(AND(E$33&lt;&gt;"",E56&gt;Dateneingabe!$D$46),"Laufzeit!","")</f>
        <v/>
      </c>
      <c r="F59" s="168" t="str">
        <f>IF(AND(F$33&lt;&gt;"",F56&gt;Dateneingabe!$D$47),"Laufzeit!","")</f>
        <v/>
      </c>
      <c r="G59" s="168" t="str">
        <f>IF(AND(G$33&lt;&gt;"",G56&gt;Dateneingabe!$D$48),"Laufzeit!","")</f>
        <v/>
      </c>
      <c r="H59" s="168" t="str">
        <f>IF(AND(H$33&lt;&gt;"",H56&gt;Dateneingabe!$D$49),"Laufzeit!","")</f>
        <v/>
      </c>
      <c r="I59" s="169" t="str">
        <f>IF(AND(I$33&lt;&gt;"",I56&gt;Dateneingabe!$D$50),"Laufzeit!","")</f>
        <v/>
      </c>
      <c r="J59" s="143"/>
    </row>
    <row r="60" spans="2:10" ht="15.75" thickBot="1">
      <c r="B60" s="93"/>
      <c r="C60" s="90"/>
      <c r="D60" s="91"/>
      <c r="E60" s="91"/>
      <c r="F60" s="91"/>
      <c r="G60" s="91"/>
      <c r="H60" s="91"/>
      <c r="I60" s="92"/>
      <c r="J60" s="93"/>
    </row>
    <row r="61" spans="2:10">
      <c r="B61" s="99" t="s">
        <v>80</v>
      </c>
      <c r="C61" s="99" t="s">
        <v>111</v>
      </c>
    </row>
    <row r="62" spans="2:10">
      <c r="B62" s="99"/>
    </row>
    <row r="63" spans="2:10">
      <c r="B63" s="2"/>
      <c r="C63" s="2"/>
      <c r="D63" s="2"/>
      <c r="E63" s="2"/>
      <c r="F63" s="2"/>
      <c r="G63" s="2"/>
      <c r="H63" s="2"/>
      <c r="I63" s="2"/>
      <c r="J63" s="2"/>
    </row>
    <row r="64" spans="2:10" ht="17.25" customHeight="1">
      <c r="B64" s="151" t="s">
        <v>98</v>
      </c>
    </row>
    <row r="65" spans="2:10" ht="17.25" customHeight="1" thickBot="1"/>
    <row r="66" spans="2:10" ht="17.25" customHeight="1">
      <c r="B66" s="94"/>
      <c r="C66" s="80" t="s">
        <v>41</v>
      </c>
      <c r="D66" s="75" t="s">
        <v>35</v>
      </c>
      <c r="E66" s="75" t="s">
        <v>36</v>
      </c>
      <c r="F66" s="75" t="s">
        <v>37</v>
      </c>
      <c r="G66" s="75" t="s">
        <v>38</v>
      </c>
      <c r="H66" s="75" t="s">
        <v>39</v>
      </c>
      <c r="I66" s="75" t="s">
        <v>42</v>
      </c>
      <c r="J66" s="76" t="s">
        <v>74</v>
      </c>
    </row>
    <row r="67" spans="2:10" ht="17.25" customHeight="1">
      <c r="B67" s="88" t="s">
        <v>57</v>
      </c>
      <c r="C67" s="81">
        <v>4</v>
      </c>
      <c r="D67" s="77">
        <v>3</v>
      </c>
      <c r="E67" s="77">
        <v>1.5</v>
      </c>
      <c r="F67" s="77">
        <v>1.5</v>
      </c>
      <c r="G67" s="77">
        <v>2</v>
      </c>
      <c r="H67" s="77">
        <v>2</v>
      </c>
      <c r="I67" s="84">
        <v>3</v>
      </c>
      <c r="J67" s="86"/>
    </row>
    <row r="68" spans="2:10" ht="17.25" customHeight="1">
      <c r="B68" s="88" t="s">
        <v>64</v>
      </c>
      <c r="C68" s="82" t="str">
        <f>IF(Dateneingabe!E16&lt;&gt;"",Dateneingabe!E16,"")</f>
        <v/>
      </c>
      <c r="D68" s="78">
        <f>IF(Dateneingabe!E17&lt;&gt;"",Dateneingabe!E17,"")</f>
        <v>11</v>
      </c>
      <c r="E68" s="78">
        <f>IF(Dateneingabe!E18&lt;&gt;"",Dateneingabe!E18,"")</f>
        <v>20</v>
      </c>
      <c r="F68" s="78">
        <f>IF(Dateneingabe!E19&lt;&gt;"",Dateneingabe!E19,"")</f>
        <v>20</v>
      </c>
      <c r="G68" s="78">
        <f>IF(Dateneingabe!E20&lt;&gt;"",Dateneingabe!E20,"")</f>
        <v>18</v>
      </c>
      <c r="H68" s="78">
        <f>IF(Dateneingabe!E21&lt;&gt;"",Dateneingabe!E21,"")</f>
        <v>17</v>
      </c>
      <c r="I68" s="85" t="str">
        <f>IF(Dateneingabe!E22&lt;&gt;"",Dateneingabe!E22,"")</f>
        <v/>
      </c>
      <c r="J68" s="86"/>
    </row>
    <row r="69" spans="2:10" ht="17.25" customHeight="1">
      <c r="B69" s="88" t="s">
        <v>58</v>
      </c>
      <c r="C69" s="100" t="str">
        <f>IF(C68&lt;&gt;"",Dateneingabe!$E$12*1000*Dateneingabe!$D$34*Solarabsorber!C67/3600,"")</f>
        <v/>
      </c>
      <c r="D69" s="101">
        <f>IF(D68&lt;&gt;"",Dateneingabe!$E$12*1000*Dateneingabe!$D$34*Solarabsorber!D67/3600,"")</f>
        <v>77.029722923746704</v>
      </c>
      <c r="E69" s="101">
        <f>IF(E68&lt;&gt;"",Dateneingabe!$E$12*1000*Dateneingabe!$D$34*Solarabsorber!E67/3600,"")</f>
        <v>38.514861461873352</v>
      </c>
      <c r="F69" s="101">
        <f>IF(F68&lt;&gt;"",Dateneingabe!$E$12*1000*Dateneingabe!$D$34*Solarabsorber!F67/3600,"")</f>
        <v>38.514861461873352</v>
      </c>
      <c r="G69" s="101">
        <f>IF(G68&lt;&gt;"",Dateneingabe!$E$12*1000*Dateneingabe!$D$34*Solarabsorber!G67/3600,"")</f>
        <v>51.353148615831145</v>
      </c>
      <c r="H69" s="101">
        <f>IF(H68&lt;&gt;"",Dateneingabe!$E$12*1000*Dateneingabe!$D$34*Solarabsorber!H67/3600,"")</f>
        <v>51.353148615831145</v>
      </c>
      <c r="I69" s="102" t="str">
        <f>IF(I68&lt;&gt;"",Dateneingabe!$E$12*1000*Dateneingabe!$D$34*Solarabsorber!I67/3600,"")</f>
        <v/>
      </c>
      <c r="J69" s="87"/>
    </row>
    <row r="70" spans="2:10" ht="17.25" customHeight="1" thickBot="1">
      <c r="B70" s="93"/>
      <c r="C70" s="90"/>
      <c r="D70" s="91"/>
      <c r="E70" s="91"/>
      <c r="F70" s="91"/>
      <c r="G70" s="91"/>
      <c r="H70" s="91"/>
      <c r="I70" s="92"/>
      <c r="J70" s="93"/>
    </row>
    <row r="71" spans="2:10" ht="17.25" customHeight="1">
      <c r="B71" s="103" t="s">
        <v>120</v>
      </c>
      <c r="C71" s="149"/>
      <c r="D71" s="149"/>
      <c r="E71" s="149"/>
      <c r="F71" s="149"/>
      <c r="G71" s="149"/>
      <c r="H71" s="149"/>
      <c r="I71" s="149"/>
      <c r="J71" s="150"/>
    </row>
    <row r="72" spans="2:10" ht="17.25" customHeight="1">
      <c r="B72" s="88" t="s">
        <v>140</v>
      </c>
      <c r="C72" s="101" t="str">
        <f>IF(C$68&lt;&gt;"",SUMIFS(Hilfsdaten!$C$36:$C$323,Hilfsdaten!$A$36:$A$323,4)/1000*$C$21*$C$22/100,"")</f>
        <v/>
      </c>
      <c r="D72" s="101">
        <f>IF(D$68&lt;&gt;"",SUMIFS(Hilfsdaten!$C$36:$C$323,Hilfsdaten!$A$36:$A$323,5)/1000*$C$21*$C$22/100,"")</f>
        <v>67.613534999999999</v>
      </c>
      <c r="E72" s="101">
        <f>IF(E$68&lt;&gt;"",SUMIFS(Hilfsdaten!$C$36:$C$323,Hilfsdaten!$A$36:$A$323,6)/1000*$C$21*$C$22/100,"")</f>
        <v>75.663045000000011</v>
      </c>
      <c r="F72" s="101">
        <f>IF(F$68&lt;&gt;"",SUMIFS(Hilfsdaten!$C$36:$C$323,Hilfsdaten!$A$36:$A$323,7)/1000*$C$21*$C$22/100,"")</f>
        <v>71.928269999999998</v>
      </c>
      <c r="G72" s="101">
        <f>IF(G$68&lt;&gt;"",SUMIFS(Hilfsdaten!$C$36:$C$323,Hilfsdaten!$A$36:$A$323,8)/1000*$C$21*$C$22/100,"")</f>
        <v>61.065359999999991</v>
      </c>
      <c r="H72" s="101">
        <f>IF(H$68&lt;&gt;"",SUMIFS(Hilfsdaten!$C$36:$C$323,Hilfsdaten!$A$36:$A$323,9)/1000*$C$21*$C$22/100,"")</f>
        <v>44.674334999999999</v>
      </c>
      <c r="I72" s="101" t="str">
        <f>IF(I$68&lt;&gt;"",SUMIFS(Hilfsdaten!$C$36:$C$323,Hilfsdaten!$A$36:$A$323,10)/1000*$C$21*$C$22/100,"")</f>
        <v/>
      </c>
      <c r="J72" s="89"/>
    </row>
    <row r="73" spans="2:10" ht="17.25" customHeight="1">
      <c r="B73" s="88" t="s">
        <v>139</v>
      </c>
      <c r="C73" s="124" t="str">
        <f t="shared" ref="C73:I73" si="13">IF(C$68&lt;&gt;"",C72/C$69*100,"")</f>
        <v/>
      </c>
      <c r="D73" s="125">
        <f t="shared" si="13"/>
        <v>87.775903162642848</v>
      </c>
      <c r="E73" s="125">
        <f t="shared" si="13"/>
        <v>196.45155695263347</v>
      </c>
      <c r="F73" s="125">
        <f t="shared" si="13"/>
        <v>186.75458581411038</v>
      </c>
      <c r="G73" s="125">
        <f t="shared" si="13"/>
        <v>118.91259181949121</v>
      </c>
      <c r="H73" s="125">
        <f t="shared" si="13"/>
        <v>86.994344464066216</v>
      </c>
      <c r="I73" s="127" t="str">
        <f t="shared" si="13"/>
        <v/>
      </c>
      <c r="J73" s="89"/>
    </row>
    <row r="74" spans="2:10" ht="17.25" customHeight="1">
      <c r="B74" s="88" t="s">
        <v>79</v>
      </c>
      <c r="C74" s="83" t="str">
        <f>IF(C$68&lt;&gt;"",C$69/(C72/Dateneingabe!$F$16),"")</f>
        <v/>
      </c>
      <c r="D74" s="79">
        <f>IF(D$68&lt;&gt;"",D$69/(D72/Dateneingabe!$F$17),"")</f>
        <v>18.034562368065956</v>
      </c>
      <c r="E74" s="79">
        <f>IF(E$68&lt;&gt;"",E$69/(E72/Dateneingabe!$F$18),"")</f>
        <v>8.5924490810067464</v>
      </c>
      <c r="F74" s="79">
        <f>IF(F$68&lt;&gt;"",F$69/(F72/Dateneingabe!$F$19),"")</f>
        <v>8.7922874441990686</v>
      </c>
      <c r="G74" s="79">
        <f>IF(G$68&lt;&gt;"",G$69/(G72/Dateneingabe!$F$20),"")</f>
        <v>12.404069051316647</v>
      </c>
      <c r="H74" s="79">
        <f>IF(H$68&lt;&gt;"",H$69/(H72/Dateneingabe!$F$21),"")</f>
        <v>14.65612515221205</v>
      </c>
      <c r="I74" s="121" t="str">
        <f>IF(I$68&lt;&gt;"",I$69/(I72/Dateneingabe!$F$22),"")</f>
        <v/>
      </c>
      <c r="J74" s="89"/>
    </row>
    <row r="75" spans="2:10" ht="17.25" customHeight="1">
      <c r="B75" s="88" t="s">
        <v>112</v>
      </c>
      <c r="C75" s="125" t="str">
        <f>IF(AND(C$68&lt;&gt;"",C74&gt;Dateneingabe!$C$44),(C74-Dateneingabe!$C$44)*Dateneingabe!$E$41*30,"")</f>
        <v/>
      </c>
      <c r="D75" s="125">
        <f>IF(AND(D$68&lt;&gt;"",D74&gt;Dateneingabe!$C$45),(D74-Dateneingabe!$C$45)*Dateneingabe!$E$41*31,"")</f>
        <v>182.80500237092187</v>
      </c>
      <c r="E75" s="125">
        <f>IF(AND(E$68&lt;&gt;"",E74&gt;Dateneingabe!$C$46),(E74-Dateneingabe!$C$46)*Dateneingabe!$E$41*30,"")</f>
        <v>8.7090014907991726</v>
      </c>
      <c r="F75" s="125">
        <f>IF(AND(F$68&lt;&gt;"",F74&gt;Dateneingabe!$C$47),(F74-Dateneingabe!$C$47)*Dateneingabe!$E$41*31,"")</f>
        <v>12.034846277383853</v>
      </c>
      <c r="G75" s="125">
        <f>IF(AND(G$68&lt;&gt;"",G74&gt;Dateneingabe!$C$48),(G74-Dateneingabe!$C$48)*Dateneingabe!$E$41*31,"")</f>
        <v>97.277808889499866</v>
      </c>
      <c r="H75" s="125">
        <f>IF(AND(H$68&lt;&gt;"",H74&gt;Dateneingabe!$C$49),(H74-Dateneingabe!$C$49)*Dateneingabe!$E$41*30,"")</f>
        <v>127.24503973751712</v>
      </c>
      <c r="I75" s="125" t="str">
        <f>IF(AND(I$33&lt;&gt;"",I74&gt;Dateneingabe!$C$50),(I74-Dateneingabe!$C$50)*Dateneingabe!$E$41*31,"")</f>
        <v/>
      </c>
      <c r="J75" s="122">
        <f>SUM(C75:I75)</f>
        <v>428.07169876612187</v>
      </c>
    </row>
    <row r="76" spans="2:10">
      <c r="B76" s="88" t="s">
        <v>110</v>
      </c>
      <c r="C76" s="124" t="str">
        <f>IF(C75&lt;&gt;"",C75*Dateneingabe!$D$26,"")</f>
        <v/>
      </c>
      <c r="D76" s="125">
        <f>IF(D75&lt;&gt;"",D75*Dateneingabe!$D$26,"")</f>
        <v>53.013450687567335</v>
      </c>
      <c r="E76" s="125">
        <f>IF(E75&lt;&gt;"",E75*Dateneingabe!$D$26,"")</f>
        <v>2.5256104323317601</v>
      </c>
      <c r="F76" s="125">
        <f>IF(F75&lt;&gt;"",F75*Dateneingabe!$D$26,"")</f>
        <v>3.4901054204413171</v>
      </c>
      <c r="G76" s="125">
        <f>IF(G75&lt;&gt;"",G75*Dateneingabe!$D$26,"")</f>
        <v>28.210564577954958</v>
      </c>
      <c r="H76" s="125">
        <f>IF(H75&lt;&gt;"",H75*Dateneingabe!$D$26,"")</f>
        <v>36.90106152387996</v>
      </c>
      <c r="I76" s="127" t="str">
        <f>IF(I75&lt;&gt;"",I75*Dateneingabe!$D$26,"")</f>
        <v/>
      </c>
      <c r="J76" s="122">
        <f>SUM(C76:I76)</f>
        <v>124.14079264217533</v>
      </c>
    </row>
    <row r="77" spans="2:10" ht="17.25" customHeight="1">
      <c r="B77" s="88"/>
      <c r="C77" s="167" t="str">
        <f>IF(AND(C$33&lt;&gt;"",C74&gt;Dateneingabe!$D$44),"Laufzeit!","")</f>
        <v/>
      </c>
      <c r="D77" s="168" t="str">
        <f>IF(AND(D$33&lt;&gt;"",D74&gt;Dateneingabe!$D$45),"Laufzeit!","")</f>
        <v>Laufzeit!</v>
      </c>
      <c r="E77" s="168" t="str">
        <f>IF(AND(E$33&lt;&gt;"",E74&gt;Dateneingabe!$D$46),"Laufzeit!","")</f>
        <v/>
      </c>
      <c r="F77" s="168" t="str">
        <f>IF(AND(F$33&lt;&gt;"",F74&gt;Dateneingabe!$D$47),"Laufzeit!","")</f>
        <v/>
      </c>
      <c r="G77" s="168" t="str">
        <f>IF(AND(G$33&lt;&gt;"",G74&gt;Dateneingabe!$D$48),"Laufzeit!","")</f>
        <v>Laufzeit!</v>
      </c>
      <c r="H77" s="168" t="str">
        <f>IF(AND(H$33&lt;&gt;"",H74&gt;Dateneingabe!$D$49),"Laufzeit!","")</f>
        <v>Laufzeit!</v>
      </c>
      <c r="I77" s="169" t="str">
        <f>IF(AND(I$33&lt;&gt;"",I74&gt;Dateneingabe!$D$50),"Laufzeit!","")</f>
        <v/>
      </c>
      <c r="J77" s="170"/>
    </row>
    <row r="78" spans="2:10" ht="17.25" customHeight="1" thickBot="1">
      <c r="B78" s="93"/>
      <c r="C78" s="90"/>
      <c r="D78" s="91"/>
      <c r="E78" s="91"/>
      <c r="F78" s="91"/>
      <c r="G78" s="91"/>
      <c r="H78" s="91"/>
      <c r="I78" s="92"/>
      <c r="J78" s="93"/>
    </row>
    <row r="79" spans="2:10">
      <c r="B79" s="103" t="s">
        <v>121</v>
      </c>
      <c r="C79" s="149"/>
      <c r="D79" s="149"/>
      <c r="E79" s="149"/>
      <c r="F79" s="149"/>
      <c r="G79" s="149"/>
      <c r="H79" s="149"/>
      <c r="I79" s="149"/>
      <c r="J79" s="150"/>
    </row>
    <row r="80" spans="2:10">
      <c r="B80" s="88" t="s">
        <v>140</v>
      </c>
      <c r="C80" s="101" t="str">
        <f>IF(C$68&lt;&gt;"",SUMIFS(Hilfsdaten!$C$36:$C$323,Hilfsdaten!$A$36:$A$323,4)/1000*$G$21*$G$22/100,"")</f>
        <v/>
      </c>
      <c r="D80" s="101">
        <f>IF(D$68&lt;&gt;"",SUMIFS(Hilfsdaten!$C$36:$C$323,Hilfsdaten!$A$36:$A$323,5)/1000*$G$21*$G$22/100,"")</f>
        <v>90.151379999999989</v>
      </c>
      <c r="E80" s="101">
        <f>IF(E$68&lt;&gt;"",SUMIFS(Hilfsdaten!$C$36:$C$323,Hilfsdaten!$A$36:$A$323,6)/1000*$G$21*$G$22/100,"")</f>
        <v>100.88406000000001</v>
      </c>
      <c r="F80" s="101">
        <f>IF(F$68&lt;&gt;"",SUMIFS(Hilfsdaten!$C$36:$C$323,Hilfsdaten!$A$36:$A$323,7)/1000*$G$21*$G$22/100,"")</f>
        <v>95.904359999999997</v>
      </c>
      <c r="G80" s="101">
        <f>IF(G$68&lt;&gt;"",SUMIFS(Hilfsdaten!$C$36:$C$323,Hilfsdaten!$A$36:$A$323,8)/1000*$G$21*$G$22/100,"")</f>
        <v>81.420479999999984</v>
      </c>
      <c r="H80" s="101">
        <f>IF(H$68&lt;&gt;"",SUMIFS(Hilfsdaten!$C$36:$C$323,Hilfsdaten!$A$36:$A$323,9)/1000*$G$21*$G$22/100,"")</f>
        <v>59.565780000000004</v>
      </c>
      <c r="I80" s="101" t="str">
        <f>IF(I$68&lt;&gt;"",SUMIFS(Hilfsdaten!$C$36:$C$323,Hilfsdaten!$A$36:$A$323,10)/1000*$G$21*$G$22/100,"")</f>
        <v/>
      </c>
      <c r="J80" s="89"/>
    </row>
    <row r="81" spans="2:10">
      <c r="B81" s="88" t="s">
        <v>139</v>
      </c>
      <c r="C81" s="124" t="str">
        <f t="shared" ref="C81:I81" si="14">IF(C$68&lt;&gt;"",C80/C$69*100,"")</f>
        <v/>
      </c>
      <c r="D81" s="125">
        <f t="shared" si="14"/>
        <v>117.03453755019044</v>
      </c>
      <c r="E81" s="125">
        <f t="shared" si="14"/>
        <v>261.93540927017796</v>
      </c>
      <c r="F81" s="125">
        <f t="shared" si="14"/>
        <v>249.00611441881387</v>
      </c>
      <c r="G81" s="125">
        <f t="shared" si="14"/>
        <v>158.55012242598826</v>
      </c>
      <c r="H81" s="125">
        <f t="shared" si="14"/>
        <v>115.99245928542163</v>
      </c>
      <c r="I81" s="127" t="str">
        <f t="shared" si="14"/>
        <v/>
      </c>
      <c r="J81" s="89"/>
    </row>
    <row r="82" spans="2:10">
      <c r="B82" s="88" t="s">
        <v>79</v>
      </c>
      <c r="C82" s="83" t="str">
        <f>IF(C$68&lt;&gt;"",C$69/(C80/Dateneingabe!$F$16),"")</f>
        <v/>
      </c>
      <c r="D82" s="79">
        <f>IF(D$68&lt;&gt;"",D$69/(D80/Dateneingabe!$F$17),"")</f>
        <v>13.525921776049469</v>
      </c>
      <c r="E82" s="79">
        <f>IF(E$68&lt;&gt;"",E$69/(E80/Dateneingabe!$F$18),"")</f>
        <v>6.4443368107550594</v>
      </c>
      <c r="F82" s="79">
        <f>IF(F$68&lt;&gt;"",F$69/(F80/Dateneingabe!$F$19),"")</f>
        <v>6.5942155831493006</v>
      </c>
      <c r="G82" s="79">
        <f>IF(G$68&lt;&gt;"",G$69/(G80/Dateneingabe!$F$20),"")</f>
        <v>9.303051788487485</v>
      </c>
      <c r="H82" s="79">
        <f>IF(H$68&lt;&gt;"",H$69/(H80/Dateneingabe!$F$21),"")</f>
        <v>10.992093864159038</v>
      </c>
      <c r="I82" s="121" t="str">
        <f>IF(I$68&lt;&gt;"",I$69/(I80/Dateneingabe!$F$22),"")</f>
        <v/>
      </c>
      <c r="J82" s="89"/>
    </row>
    <row r="83" spans="2:10">
      <c r="B83" s="88" t="s">
        <v>112</v>
      </c>
      <c r="C83" s="125" t="str">
        <f>IF(AND(C$68&lt;&gt;"",C82&gt;Dateneingabe!$C$44),(C82-Dateneingabe!$C$44)*Dateneingabe!$E$41*30,"")</f>
        <v/>
      </c>
      <c r="D83" s="125">
        <f>IF(AND(D$68&lt;&gt;"",D82&gt;Dateneingabe!$C$45),(D82-Dateneingabe!$C$45)*Dateneingabe!$E$41*31,"")</f>
        <v>114.31875177819143</v>
      </c>
      <c r="E83" s="125" t="str">
        <f>IF(AND(E$68&lt;&gt;"",E82&gt;Dateneingabe!$C$46),(E82-Dateneingabe!$C$46)*Dateneingabe!$E$41*30,"")</f>
        <v/>
      </c>
      <c r="F83" s="125" t="str">
        <f>IF(AND(F$68&lt;&gt;"",F82&gt;Dateneingabe!$C$47),(F82-Dateneingabe!$C$47)*Dateneingabe!$E$41*31,"")</f>
        <v/>
      </c>
      <c r="G83" s="125">
        <f>IF(AND(G$68&lt;&gt;"",G82&gt;Dateneingabe!$C$48),(G82-Dateneingabe!$C$48)*Dateneingabe!$E$41*31,"")</f>
        <v>50.173356667124899</v>
      </c>
      <c r="H83" s="125">
        <f>IF(AND(H$68&lt;&gt;"",H82&gt;Dateneingabe!$C$49),(H82-Dateneingabe!$C$49)*Dateneingabe!$E$41*30,"")</f>
        <v>73.383779803137855</v>
      </c>
      <c r="I83" s="125" t="str">
        <f>IF(AND(I$33&lt;&gt;"",I82&gt;Dateneingabe!$C$50),(I82-Dateneingabe!$C$50)*Dateneingabe!$E$41*31,"")</f>
        <v/>
      </c>
      <c r="J83" s="122"/>
    </row>
    <row r="84" spans="2:10">
      <c r="B84" s="88" t="s">
        <v>110</v>
      </c>
      <c r="C84" s="124" t="str">
        <f>IF(C83&lt;&gt;"",C83*Dateneingabe!$D$26,"")</f>
        <v/>
      </c>
      <c r="D84" s="125">
        <f>IF(D83&lt;&gt;"",D83*Dateneingabe!$D$26,"")</f>
        <v>33.152438015675514</v>
      </c>
      <c r="E84" s="125" t="str">
        <f>IF(E83&lt;&gt;"",E83*Dateneingabe!$D$26,"")</f>
        <v/>
      </c>
      <c r="F84" s="125" t="str">
        <f>IF(F83&lt;&gt;"",F83*Dateneingabe!$D$26,"")</f>
        <v/>
      </c>
      <c r="G84" s="125">
        <f>IF(G83&lt;&gt;"",G83*Dateneingabe!$D$26,"")</f>
        <v>14.55027343346622</v>
      </c>
      <c r="H84" s="125">
        <f>IF(H83&lt;&gt;"",H83*Dateneingabe!$D$26,"")</f>
        <v>21.281296142909977</v>
      </c>
      <c r="I84" s="127" t="str">
        <f>IF(I83&lt;&gt;"",I83*Dateneingabe!$D$26,"")</f>
        <v/>
      </c>
      <c r="J84" s="122"/>
    </row>
    <row r="85" spans="2:10">
      <c r="B85" s="88"/>
      <c r="C85" s="167" t="str">
        <f>IF(AND(C$33&lt;&gt;"",C82&gt;Dateneingabe!$D$44),"Laufzeit!","")</f>
        <v/>
      </c>
      <c r="D85" s="168" t="str">
        <f>IF(AND(D$33&lt;&gt;"",D82&gt;Dateneingabe!$D$45),"Laufzeit!","")</f>
        <v>Laufzeit!</v>
      </c>
      <c r="E85" s="168" t="str">
        <f>IF(AND(E$33&lt;&gt;"",E82&gt;Dateneingabe!$D$46),"Laufzeit!","")</f>
        <v/>
      </c>
      <c r="F85" s="168" t="str">
        <f>IF(AND(F$33&lt;&gt;"",F82&gt;Dateneingabe!$D$47),"Laufzeit!","")</f>
        <v/>
      </c>
      <c r="G85" s="168" t="str">
        <f>IF(AND(G$33&lt;&gt;"",G82&gt;Dateneingabe!$D$48),"Laufzeit!","")</f>
        <v/>
      </c>
      <c r="H85" s="168" t="str">
        <f>IF(AND(H$33&lt;&gt;"",H82&gt;Dateneingabe!$D$49),"Laufzeit!","")</f>
        <v>Laufzeit!</v>
      </c>
      <c r="I85" s="169" t="str">
        <f>IF(AND(I$33&lt;&gt;"",I82&gt;Dateneingabe!$D$50),"Laufzeit!","")</f>
        <v/>
      </c>
      <c r="J85" s="143"/>
    </row>
    <row r="86" spans="2:10" ht="15.75" thickBot="1">
      <c r="B86" s="93"/>
      <c r="C86" s="90"/>
      <c r="D86" s="91"/>
      <c r="E86" s="91"/>
      <c r="F86" s="91"/>
      <c r="G86" s="91"/>
      <c r="H86" s="91"/>
      <c r="I86" s="92"/>
      <c r="J86" s="93"/>
    </row>
    <row r="87" spans="2:10">
      <c r="B87" s="103" t="s">
        <v>141</v>
      </c>
      <c r="C87" s="149"/>
      <c r="D87" s="149"/>
      <c r="E87" s="149"/>
      <c r="F87" s="149"/>
      <c r="G87" s="149"/>
      <c r="H87" s="149"/>
      <c r="I87" s="149"/>
      <c r="J87" s="150"/>
    </row>
    <row r="88" spans="2:10">
      <c r="B88" s="88" t="s">
        <v>140</v>
      </c>
      <c r="C88" s="101" t="str">
        <f>IF(C$68&lt;&gt;"",SUMIFS(Hilfsdaten!$C$36:$C$323,Hilfsdaten!$A$36:$A$323,4)/1000*$K$21*$K$22/100,"")</f>
        <v/>
      </c>
      <c r="D88" s="101">
        <f>IF(D$68&lt;&gt;"",SUMIFS(Hilfsdaten!$C$36:$C$323,Hilfsdaten!$A$36:$A$323,5)/1000*$K$21*$K$22/100,"")</f>
        <v>112.68922499999999</v>
      </c>
      <c r="E88" s="101">
        <f>IF(E$68&lt;&gt;"",SUMIFS(Hilfsdaten!$C$36:$C$323,Hilfsdaten!$A$36:$A$323,6)/1000*$K$21*$K$22/100,"")</f>
        <v>126.10507500000001</v>
      </c>
      <c r="F88" s="101">
        <f>IF(F$68&lt;&gt;"",SUMIFS(Hilfsdaten!$C$36:$C$323,Hilfsdaten!$A$36:$A$323,7)/1000*$K$21*$K$22/100,"")</f>
        <v>119.88044999999998</v>
      </c>
      <c r="G88" s="101">
        <f>IF(G$68&lt;&gt;"",SUMIFS(Hilfsdaten!$C$36:$C$323,Hilfsdaten!$A$36:$A$323,8)/1000*$K$21*$K$22/100,"")</f>
        <v>101.7756</v>
      </c>
      <c r="H88" s="101">
        <f>IF(H$68&lt;&gt;"",SUMIFS(Hilfsdaten!$C$36:$C$323,Hilfsdaten!$A$36:$A$323,9)/1000*$K$21*$K$22/100,"")</f>
        <v>74.457225000000008</v>
      </c>
      <c r="I88" s="101" t="str">
        <f>IF(I$68&lt;&gt;"",SUMIFS(Hilfsdaten!$C$36:$C$323,Hilfsdaten!$A$36:$A$323,10)/1000*$K$21*$K$22/100,"")</f>
        <v/>
      </c>
      <c r="J88" s="89"/>
    </row>
    <row r="89" spans="2:10">
      <c r="B89" s="88" t="s">
        <v>139</v>
      </c>
      <c r="C89" s="124" t="str">
        <f t="shared" ref="C89:I89" si="15">IF(C$68&lt;&gt;"",C88/C$69*100,"")</f>
        <v/>
      </c>
      <c r="D89" s="125">
        <f t="shared" si="15"/>
        <v>146.29317193773807</v>
      </c>
      <c r="E89" s="125">
        <f t="shared" si="15"/>
        <v>327.41926158772247</v>
      </c>
      <c r="F89" s="125">
        <f t="shared" si="15"/>
        <v>311.25764302351729</v>
      </c>
      <c r="G89" s="125">
        <f t="shared" si="15"/>
        <v>198.18765303248537</v>
      </c>
      <c r="H89" s="125">
        <f t="shared" si="15"/>
        <v>144.99057410677705</v>
      </c>
      <c r="I89" s="127" t="str">
        <f t="shared" si="15"/>
        <v/>
      </c>
      <c r="J89" s="89"/>
    </row>
    <row r="90" spans="2:10">
      <c r="B90" s="88" t="s">
        <v>79</v>
      </c>
      <c r="C90" s="83" t="str">
        <f>IF(C$68&lt;&gt;"",C$69/(C88/Dateneingabe!$F$16),"")</f>
        <v/>
      </c>
      <c r="D90" s="79">
        <f>IF(D$68&lt;&gt;"",D$69/(D88/Dateneingabe!$F$17),"")</f>
        <v>10.820737420839574</v>
      </c>
      <c r="E90" s="79">
        <f>IF(E$68&lt;&gt;"",E$69/(E88/Dateneingabe!$F$18),"")</f>
        <v>5.1554694486040473</v>
      </c>
      <c r="F90" s="79">
        <f>IF(F$68&lt;&gt;"",F$69/(F88/Dateneingabe!$F$19),"")</f>
        <v>5.2753724665194417</v>
      </c>
      <c r="G90" s="79">
        <f>IF(G$68&lt;&gt;"",G$69/(G88/Dateneingabe!$F$20),"")</f>
        <v>7.4424414307899873</v>
      </c>
      <c r="H90" s="79">
        <f>IF(H$68&lt;&gt;"",H$69/(H88/Dateneingabe!$F$21),"")</f>
        <v>8.7936750913272288</v>
      </c>
      <c r="I90" s="121" t="str">
        <f>IF(I$68&lt;&gt;"",I$69/(I88/Dateneingabe!$F$22),"")</f>
        <v/>
      </c>
      <c r="J90" s="89"/>
    </row>
    <row r="91" spans="2:10">
      <c r="B91" s="88" t="s">
        <v>112</v>
      </c>
      <c r="C91" s="125" t="str">
        <f>IF(AND(C$68&lt;&gt;"",C90&gt;Dateneingabe!$C$44),(C90-Dateneingabe!$C$44)*Dateneingabe!$E$41*30,"")</f>
        <v/>
      </c>
      <c r="D91" s="125">
        <f>IF(AND(D$68&lt;&gt;"",D90&gt;Dateneingabe!$C$45),(D90-Dateneingabe!$C$45)*Dateneingabe!$E$41*31,"")</f>
        <v>73.22700142255313</v>
      </c>
      <c r="E91" s="125" t="str">
        <f>IF(AND(E$68&lt;&gt;"",E90&gt;Dateneingabe!$C$46),(E90-Dateneingabe!$C$46)*Dateneingabe!$E$41*30,"")</f>
        <v/>
      </c>
      <c r="F91" s="125" t="str">
        <f>IF(AND(F$68&lt;&gt;"",F90&gt;Dateneingabe!$C$47),(F90-Dateneingabe!$C$47)*Dateneingabe!$E$41*31,"")</f>
        <v/>
      </c>
      <c r="G91" s="125">
        <f>IF(AND(G$68&lt;&gt;"",G90&gt;Dateneingabe!$C$48),(G90-Dateneingabe!$C$48)*Dateneingabe!$E$41*31,"")</f>
        <v>21.910685333699906</v>
      </c>
      <c r="H91" s="125">
        <f>IF(AND(H$68&lt;&gt;"",H90&gt;Dateneingabe!$C$49),(H90-Dateneingabe!$C$49)*Dateneingabe!$E$41*30,"")</f>
        <v>41.06702384251026</v>
      </c>
      <c r="I91" s="125" t="str">
        <f>IF(AND(I$33&lt;&gt;"",I90&gt;Dateneingabe!$C$50),(I90-Dateneingabe!$C$50)*Dateneingabe!$E$41*31,"")</f>
        <v/>
      </c>
      <c r="J91" s="122"/>
    </row>
    <row r="92" spans="2:10">
      <c r="B92" s="88" t="s">
        <v>110</v>
      </c>
      <c r="C92" s="124" t="str">
        <f>IF(C91&lt;&gt;"",C91*Dateneingabe!$D$26,"")</f>
        <v/>
      </c>
      <c r="D92" s="125">
        <f>IF(D91&lt;&gt;"",D91*Dateneingabe!$D$26,"")</f>
        <v>21.235830412540405</v>
      </c>
      <c r="E92" s="125" t="str">
        <f>IF(E91&lt;&gt;"",E91*Dateneingabe!$D$26,"")</f>
        <v/>
      </c>
      <c r="F92" s="125" t="str">
        <f>IF(F91&lt;&gt;"",F91*Dateneingabe!$D$26,"")</f>
        <v/>
      </c>
      <c r="G92" s="125">
        <f>IF(G91&lt;&gt;"",G91*Dateneingabe!$D$26,"")</f>
        <v>6.3540987467729719</v>
      </c>
      <c r="H92" s="125">
        <f>IF(H91&lt;&gt;"",H91*Dateneingabe!$D$26,"")</f>
        <v>11.909436914327975</v>
      </c>
      <c r="I92" s="127" t="str">
        <f>IF(I91&lt;&gt;"",I91*Dateneingabe!$D$26,"")</f>
        <v/>
      </c>
      <c r="J92" s="122"/>
    </row>
    <row r="93" spans="2:10">
      <c r="B93" s="88"/>
      <c r="C93" s="167" t="str">
        <f>IF(AND(C$33&lt;&gt;"",C90&gt;Dateneingabe!$D$44),"Laufzeit!","")</f>
        <v/>
      </c>
      <c r="D93" s="168" t="str">
        <f>IF(AND(D$33&lt;&gt;"",D90&gt;Dateneingabe!$D$45),"Laufzeit!","")</f>
        <v>Laufzeit!</v>
      </c>
      <c r="E93" s="168" t="str">
        <f>IF(AND(E$33&lt;&gt;"",E90&gt;Dateneingabe!$D$46),"Laufzeit!","")</f>
        <v/>
      </c>
      <c r="F93" s="168" t="str">
        <f>IF(AND(F$33&lt;&gt;"",F90&gt;Dateneingabe!$D$47),"Laufzeit!","")</f>
        <v/>
      </c>
      <c r="G93" s="168" t="str">
        <f>IF(AND(G$33&lt;&gt;"",G90&gt;Dateneingabe!$D$48),"Laufzeit!","")</f>
        <v/>
      </c>
      <c r="H93" s="168" t="str">
        <f>IF(AND(H$33&lt;&gt;"",H90&gt;Dateneingabe!$D$49),"Laufzeit!","")</f>
        <v/>
      </c>
      <c r="I93" s="169" t="str">
        <f>IF(AND(I$33&lt;&gt;"",I90&gt;Dateneingabe!$D$50),"Laufzeit!","")</f>
        <v/>
      </c>
      <c r="J93" s="143"/>
    </row>
    <row r="94" spans="2:10" ht="17.25" customHeight="1" thickBot="1">
      <c r="B94" s="93"/>
      <c r="C94" s="90"/>
      <c r="D94" s="91"/>
      <c r="E94" s="91"/>
      <c r="F94" s="91"/>
      <c r="G94" s="91"/>
      <c r="H94" s="91"/>
      <c r="I94" s="92"/>
      <c r="J94" s="93"/>
    </row>
    <row r="95" spans="2:10">
      <c r="B95" s="99" t="s">
        <v>80</v>
      </c>
      <c r="C95" s="99" t="s">
        <v>111</v>
      </c>
    </row>
  </sheetData>
  <mergeCells count="7">
    <mergeCell ref="S4:Y4"/>
    <mergeCell ref="K6:L7"/>
    <mergeCell ref="N4:Q9"/>
    <mergeCell ref="N2:O2"/>
    <mergeCell ref="B25:D27"/>
    <mergeCell ref="E25:H27"/>
    <mergeCell ref="I25:L27"/>
  </mergeCells>
  <conditionalFormatting sqref="K6:L7">
    <cfRule type="expression" dxfId="6" priority="29">
      <formula>$K$6="Daten OK"</formula>
    </cfRule>
  </conditionalFormatting>
  <conditionalFormatting sqref="C46:I51">
    <cfRule type="expression" dxfId="5" priority="20">
      <formula>C$51="Laufzeit!"</formula>
    </cfRule>
  </conditionalFormatting>
  <conditionalFormatting sqref="C54:I59">
    <cfRule type="expression" dxfId="4" priority="19">
      <formula>C$59="Laufzeit!"</formula>
    </cfRule>
  </conditionalFormatting>
  <conditionalFormatting sqref="C72:I77">
    <cfRule type="expression" dxfId="3" priority="18">
      <formula>C$77="Laufzeit!"</formula>
    </cfRule>
  </conditionalFormatting>
  <conditionalFormatting sqref="C80:I85">
    <cfRule type="expression" dxfId="2" priority="15">
      <formula>C$85="Laufzeit!"</formula>
    </cfRule>
  </conditionalFormatting>
  <conditionalFormatting sqref="C88:I93">
    <cfRule type="expression" dxfId="1" priority="13">
      <formula>C$93="Laufzeit!"</formula>
    </cfRule>
  </conditionalFormatting>
  <conditionalFormatting sqref="C40:I40">
    <cfRule type="colorScale" priority="12">
      <colorScale>
        <cfvo type="num" val="5"/>
        <cfvo type="percentile" val="7"/>
        <cfvo type="num" val="8"/>
        <color rgb="FF00B050"/>
        <color rgb="FFFFEB84"/>
        <color rgb="FFFF0000"/>
      </colorScale>
    </cfRule>
  </conditionalFormatting>
  <conditionalFormatting sqref="C40:I40">
    <cfRule type="expression" dxfId="0" priority="11">
      <formula>C$43="Laufzeit!"</formula>
    </cfRule>
  </conditionalFormatting>
  <conditionalFormatting sqref="C48:I48">
    <cfRule type="colorScale" priority="10">
      <colorScale>
        <cfvo type="num" val="5"/>
        <cfvo type="percentile" val="7"/>
        <cfvo type="num" val="8"/>
        <color rgb="FF00B050"/>
        <color rgb="FFFFEB84"/>
        <color rgb="FFFF0000"/>
      </colorScale>
    </cfRule>
  </conditionalFormatting>
  <conditionalFormatting sqref="C56:I56">
    <cfRule type="colorScale" priority="7">
      <colorScale>
        <cfvo type="num" val="5"/>
        <cfvo type="percentile" val="7"/>
        <cfvo type="num" val="8"/>
        <color rgb="FF00B050"/>
        <color rgb="FFFFEB84"/>
        <color rgb="FFFF0000"/>
      </colorScale>
    </cfRule>
  </conditionalFormatting>
  <conditionalFormatting sqref="C74:I74">
    <cfRule type="colorScale" priority="5">
      <colorScale>
        <cfvo type="num" val="5"/>
        <cfvo type="percentile" val="7"/>
        <cfvo type="num" val="8"/>
        <color rgb="FF00B050"/>
        <color rgb="FFFFEB84"/>
        <color rgb="FFFF0000"/>
      </colorScale>
    </cfRule>
  </conditionalFormatting>
  <conditionalFormatting sqref="C82:I82">
    <cfRule type="colorScale" priority="3">
      <colorScale>
        <cfvo type="num" val="5"/>
        <cfvo type="percentile" val="7"/>
        <cfvo type="num" val="8"/>
        <color rgb="FF00B050"/>
        <color rgb="FFFFEB84"/>
        <color rgb="FFFF0000"/>
      </colorScale>
    </cfRule>
  </conditionalFormatting>
  <conditionalFormatting sqref="C90:I90">
    <cfRule type="colorScale" priority="1">
      <colorScale>
        <cfvo type="num" val="5"/>
        <cfvo type="percentile" val="7"/>
        <cfvo type="num" val="8"/>
        <color rgb="FF00B050"/>
        <color rgb="FFFFEB84"/>
        <color rgb="FFFF0000"/>
      </colorScale>
    </cfRule>
  </conditionalFormatting>
  <hyperlinks>
    <hyperlink ref="N2" location="Start!A1" display="&lt;- Zurück"/>
    <hyperlink ref="S4" r:id="rId1" location="DR"/>
  </hyperlinks>
  <pageMargins left="0.70866141732283472" right="0.70866141732283472" top="0.78740157480314965" bottom="0.78740157480314965" header="0.31496062992125984" footer="0.31496062992125984"/>
  <pageSetup paperSize="9" scale="85" fitToHeight="10000" orientation="landscape" r:id="rId2"/>
  <headerFooter>
    <oddFooter>&amp;C&amp;1#&amp;"Arial"&amp;10&amp;K000000Internal</oddFooter>
  </headerFooter>
  <rowBreaks count="4" manualBreakCount="4">
    <brk id="28" max="16383" man="1"/>
    <brk id="61" max="16383" man="1"/>
    <brk id="62" max="16383" man="1"/>
    <brk id="95" max="16383" man="1"/>
  </rowBreaks>
  <drawing r:id="rId3"/>
  <legacyDrawing r:id="rId4"/>
</worksheet>
</file>

<file path=xl/worksheets/sheet5.xml><?xml version="1.0" encoding="utf-8"?>
<worksheet xmlns="http://schemas.openxmlformats.org/spreadsheetml/2006/main" xmlns:r="http://schemas.openxmlformats.org/officeDocument/2006/relationships">
  <sheetPr codeName="Tabelle5"/>
  <dimension ref="A1:K323"/>
  <sheetViews>
    <sheetView topLeftCell="A142" workbookViewId="0">
      <selection activeCell="C160" sqref="C160:C176"/>
    </sheetView>
  </sheetViews>
  <sheetFormatPr baseColWidth="10" defaultRowHeight="15"/>
  <cols>
    <col min="1" max="1" width="81.140625" style="1" customWidth="1"/>
    <col min="2" max="3" width="12" style="1" bestFit="1" customWidth="1"/>
    <col min="4" max="4" width="16.7109375" style="1" customWidth="1"/>
    <col min="5" max="10" width="13.28515625" style="1" customWidth="1"/>
    <col min="11" max="11" width="11.42578125" style="1"/>
  </cols>
  <sheetData>
    <row r="1" spans="1:10">
      <c r="A1" s="6" t="s">
        <v>15</v>
      </c>
      <c r="B1" s="1">
        <f>IF(Dateneingabe!C8=A2,1,IF(Dateneingabe!C8=A3,7,IF(Dateneingabe!C8=A4,13,19)))</f>
        <v>7</v>
      </c>
      <c r="D1" s="194"/>
      <c r="E1" s="194"/>
      <c r="F1" s="194"/>
      <c r="G1" s="194"/>
      <c r="H1" s="194"/>
      <c r="I1" s="194"/>
      <c r="J1" s="194"/>
    </row>
    <row r="2" spans="1:10">
      <c r="A2" s="1" t="s">
        <v>21</v>
      </c>
      <c r="D2" s="194"/>
      <c r="E2" s="194"/>
      <c r="F2" s="194"/>
      <c r="G2" s="194"/>
      <c r="H2" s="194"/>
      <c r="I2" s="194"/>
      <c r="J2" s="194"/>
    </row>
    <row r="3" spans="1:10">
      <c r="A3" s="1" t="s">
        <v>19</v>
      </c>
      <c r="D3" s="194"/>
      <c r="E3" s="194"/>
      <c r="F3" s="194"/>
      <c r="G3" s="194"/>
      <c r="H3" s="194"/>
      <c r="I3" s="194"/>
      <c r="J3" s="194"/>
    </row>
    <row r="4" spans="1:10">
      <c r="A4" s="1" t="s">
        <v>20</v>
      </c>
      <c r="D4" s="194"/>
      <c r="E4" s="194"/>
      <c r="F4" s="194"/>
      <c r="G4" s="194"/>
      <c r="H4" s="194"/>
      <c r="I4" s="194"/>
      <c r="J4" s="194"/>
    </row>
    <row r="5" spans="1:10">
      <c r="D5" s="194"/>
      <c r="E5" s="194"/>
      <c r="F5" s="194"/>
      <c r="G5" s="194"/>
      <c r="H5" s="194"/>
      <c r="I5" s="194"/>
      <c r="J5" s="194"/>
    </row>
    <row r="6" spans="1:10">
      <c r="D6" s="194"/>
      <c r="E6" s="194"/>
      <c r="F6" s="194"/>
      <c r="G6" s="194"/>
      <c r="H6" s="194"/>
      <c r="I6" s="194"/>
      <c r="J6" s="194"/>
    </row>
    <row r="7" spans="1:10">
      <c r="D7" s="194"/>
      <c r="E7" s="194"/>
      <c r="F7" s="194"/>
      <c r="G7" s="194"/>
      <c r="H7" s="194"/>
      <c r="I7" s="194"/>
      <c r="J7" s="194"/>
    </row>
    <row r="8" spans="1:10">
      <c r="D8" s="194"/>
      <c r="E8" s="194"/>
      <c r="F8" s="194"/>
      <c r="G8" s="194"/>
      <c r="H8" s="194"/>
      <c r="I8" s="194"/>
      <c r="J8" s="194"/>
    </row>
    <row r="9" spans="1:10">
      <c r="D9" s="194"/>
      <c r="E9" s="194"/>
      <c r="F9" s="194"/>
      <c r="G9" s="194"/>
      <c r="H9" s="194"/>
      <c r="I9" s="194"/>
      <c r="J9" s="194"/>
    </row>
    <row r="10" spans="1:10">
      <c r="D10" s="194"/>
      <c r="E10" s="194"/>
      <c r="F10" s="194"/>
      <c r="G10" s="194"/>
      <c r="H10" s="194"/>
      <c r="I10" s="194"/>
      <c r="J10" s="194"/>
    </row>
    <row r="11" spans="1:10">
      <c r="B11" s="2"/>
      <c r="D11" s="194"/>
      <c r="E11" s="194"/>
      <c r="F11" s="194"/>
      <c r="G11" s="194"/>
      <c r="H11" s="194"/>
      <c r="I11" s="194"/>
      <c r="J11" s="194"/>
    </row>
    <row r="12" spans="1:10">
      <c r="B12" s="17"/>
      <c r="D12" s="194"/>
      <c r="E12" s="194"/>
      <c r="F12" s="194"/>
      <c r="G12" s="194"/>
      <c r="H12" s="194"/>
      <c r="I12" s="194"/>
      <c r="J12" s="194"/>
    </row>
    <row r="13" spans="1:10">
      <c r="B13" s="17"/>
      <c r="D13" s="194"/>
      <c r="E13" s="194"/>
      <c r="F13" s="194"/>
      <c r="G13" s="194"/>
      <c r="H13" s="194"/>
      <c r="I13" s="194"/>
      <c r="J13" s="194"/>
    </row>
    <row r="14" spans="1:10">
      <c r="B14" s="17"/>
      <c r="D14" s="194"/>
      <c r="E14" s="194"/>
      <c r="F14" s="194"/>
      <c r="G14" s="194"/>
      <c r="H14" s="194"/>
      <c r="I14" s="194"/>
      <c r="J14" s="194"/>
    </row>
    <row r="15" spans="1:10">
      <c r="B15" s="17"/>
      <c r="D15" s="194"/>
      <c r="E15" s="194"/>
      <c r="F15" s="194"/>
      <c r="G15" s="194"/>
      <c r="H15" s="194"/>
      <c r="I15" s="194"/>
      <c r="J15" s="194"/>
    </row>
    <row r="16" spans="1:10">
      <c r="A16" s="2"/>
      <c r="B16" s="2"/>
      <c r="D16" s="194"/>
      <c r="E16" s="194"/>
      <c r="F16" s="194"/>
      <c r="G16" s="194"/>
      <c r="H16" s="194"/>
      <c r="I16" s="194"/>
      <c r="J16" s="194"/>
    </row>
    <row r="17" spans="1:11">
      <c r="A17" s="2"/>
      <c r="D17" s="194"/>
      <c r="E17" s="194"/>
      <c r="F17" s="194"/>
      <c r="G17" s="194"/>
      <c r="H17" s="194"/>
      <c r="I17" s="194"/>
      <c r="J17" s="194"/>
    </row>
    <row r="18" spans="1:11">
      <c r="A18" s="2"/>
      <c r="D18" s="194"/>
      <c r="E18" s="194"/>
      <c r="F18" s="194"/>
      <c r="G18" s="194"/>
      <c r="H18" s="194"/>
      <c r="I18" s="194"/>
      <c r="J18" s="194"/>
    </row>
    <row r="19" spans="1:11">
      <c r="A19" s="2"/>
    </row>
    <row r="21" spans="1:11">
      <c r="B21" s="13" t="s">
        <v>61</v>
      </c>
      <c r="C21" s="13" t="s">
        <v>61</v>
      </c>
      <c r="D21" s="13" t="s">
        <v>70</v>
      </c>
      <c r="E21" s="13" t="s">
        <v>71</v>
      </c>
      <c r="F21" s="13" t="s">
        <v>72</v>
      </c>
      <c r="G21" s="13" t="s">
        <v>72</v>
      </c>
      <c r="H21" s="13" t="s">
        <v>70</v>
      </c>
      <c r="I21" s="13" t="s">
        <v>71</v>
      </c>
      <c r="J21" s="1" t="s">
        <v>76</v>
      </c>
      <c r="K21" s="1" t="s">
        <v>77</v>
      </c>
    </row>
    <row r="22" spans="1:11">
      <c r="B22" s="13"/>
      <c r="C22" s="13"/>
      <c r="D22" s="13"/>
      <c r="E22" s="13"/>
      <c r="F22" s="13"/>
      <c r="G22" s="13"/>
      <c r="H22" s="13"/>
      <c r="I22" s="13"/>
    </row>
    <row r="23" spans="1:11">
      <c r="A23" s="1" t="s">
        <v>67</v>
      </c>
      <c r="B23" s="71">
        <f>IF(Wärmepumpe!C9&lt;&gt;"",Wärmepumpe!C9,IF(Wärmepumpe!C8&lt;&gt;"",Wärmepumpe!C7/Wärmepumpe!C8,0))</f>
        <v>4.936305732484076</v>
      </c>
      <c r="C23" s="71">
        <f>IF(Wärmepumpe!C14&lt;&gt;"",Wärmepumpe!C14,IF(Wärmepumpe!C13&lt;&gt;"",Wärmepumpe!C12/Wärmepumpe!C13,0))</f>
        <v>6.032171581769437</v>
      </c>
      <c r="D23" s="13">
        <f>SLOPE(B23:C23,J23:K23)</f>
        <v>9.9624168116851014E-2</v>
      </c>
      <c r="E23" s="13">
        <f>INTERCEPT(B23:C23,J23:K23)</f>
        <v>3.4419432107313104</v>
      </c>
      <c r="F23" s="73">
        <f>Wärmepumpe!C7</f>
        <v>15.5</v>
      </c>
      <c r="G23" s="73">
        <f>Wärmepumpe!C12</f>
        <v>22.5</v>
      </c>
      <c r="H23" s="13">
        <f>SLOPE(F23:G23,J23:K23)</f>
        <v>0.63636363636363635</v>
      </c>
      <c r="I23" s="13">
        <f>INTERCEPT(F23:G23,J23:K23)</f>
        <v>5.954545454545455</v>
      </c>
      <c r="J23" s="74">
        <f>Wärmepumpe!C6</f>
        <v>15</v>
      </c>
      <c r="K23" s="74">
        <f>Wärmepumpe!C11</f>
        <v>26</v>
      </c>
    </row>
    <row r="24" spans="1:11">
      <c r="A24" s="1" t="s">
        <v>68</v>
      </c>
      <c r="B24" s="71">
        <f>IF(Wärmepumpe!G9&lt;&gt;"",Wärmepumpe!G9,IF(Wärmepumpe!G8&lt;&gt;"",Wärmepumpe!G7/Wärmepumpe!G8,0))</f>
        <v>5</v>
      </c>
      <c r="C24" s="71">
        <f>IF(Wärmepumpe!G14&lt;&gt;"",Wärmepumpe!G14,IF(Wärmepumpe!G13&lt;&gt;"",Wärmepumpe!G12/Wärmepumpe!G13,0))</f>
        <v>6.3829787234042561</v>
      </c>
      <c r="D24" s="13">
        <f>SLOPE(B24:C24,J24:K24)</f>
        <v>0.125725338491296</v>
      </c>
      <c r="E24" s="13">
        <f>INTERCEPT(B24:C24,J24:K24)</f>
        <v>3.1141199226305605</v>
      </c>
      <c r="F24" s="73">
        <f>Wärmepumpe!G7</f>
        <v>12.6</v>
      </c>
      <c r="G24" s="73">
        <f>Wärmepumpe!G12</f>
        <v>18</v>
      </c>
      <c r="H24" s="13">
        <f>SLOPE(F24:G24,J24:K24)</f>
        <v>0.49090909090909096</v>
      </c>
      <c r="I24" s="13">
        <f>INTERCEPT(F24:G24,J24:K24)</f>
        <v>5.2363636363636363</v>
      </c>
      <c r="J24" s="74">
        <f>Wärmepumpe!G6</f>
        <v>15</v>
      </c>
      <c r="K24" s="74">
        <f>Wärmepumpe!G11</f>
        <v>26</v>
      </c>
    </row>
    <row r="25" spans="1:11">
      <c r="A25" s="1" t="s">
        <v>69</v>
      </c>
      <c r="B25" s="71">
        <f>IF(Wärmepumpe!K9&lt;&gt;"",Wärmepumpe!K9,IF(Wärmepumpe!K8&lt;&gt;"",Wärmepumpe!K7/Wärmepumpe!K8,0))</f>
        <v>5.1159420289855078</v>
      </c>
      <c r="C25" s="71">
        <f>IF(Wärmepumpe!K14&lt;&gt;"",Wärmepumpe!K14,IF(Wärmepumpe!K13&lt;&gt;"",Wärmepumpe!K12/Wärmepumpe!K13,0))</f>
        <v>6.1951219512195124</v>
      </c>
      <c r="D25" s="13">
        <f>SLOPE(B25:C25,J25:K25)</f>
        <v>9.8107265657636777E-2</v>
      </c>
      <c r="E25" s="13">
        <f>INTERCEPT(B25:C25,J25:K25)</f>
        <v>3.6443330441209563</v>
      </c>
      <c r="F25" s="73">
        <f>Wärmepumpe!K7</f>
        <v>10.59</v>
      </c>
      <c r="G25" s="73">
        <f>Wärmepumpe!K12</f>
        <v>15.24</v>
      </c>
      <c r="H25" s="13">
        <f>SLOPE(F25:G25,J25:K25)</f>
        <v>0.42272727272727278</v>
      </c>
      <c r="I25" s="13">
        <f>INTERCEPT(F25:G25,J25:K25)</f>
        <v>4.2490909090909064</v>
      </c>
      <c r="J25" s="74">
        <f>Wärmepumpe!K6</f>
        <v>15</v>
      </c>
      <c r="K25" s="74">
        <f>Wärmepumpe!K11</f>
        <v>26</v>
      </c>
    </row>
    <row r="30" spans="1:11">
      <c r="A30" s="155" t="s">
        <v>143</v>
      </c>
      <c r="D30" s="155"/>
    </row>
    <row r="31" spans="1:11">
      <c r="A31" s="1" t="s">
        <v>134</v>
      </c>
      <c r="B31" s="162">
        <v>52.5</v>
      </c>
    </row>
    <row r="32" spans="1:11">
      <c r="A32" s="1" t="s">
        <v>135</v>
      </c>
      <c r="B32" s="162">
        <v>13.4</v>
      </c>
    </row>
    <row r="33" spans="1:3">
      <c r="A33" s="1" t="s">
        <v>136</v>
      </c>
      <c r="B33" s="162">
        <v>0</v>
      </c>
    </row>
    <row r="34" spans="1:3">
      <c r="A34" s="1" t="s">
        <v>137</v>
      </c>
      <c r="B34" s="162">
        <v>0</v>
      </c>
    </row>
    <row r="35" spans="1:3">
      <c r="A35" s="1" t="s">
        <v>117</v>
      </c>
      <c r="B35" s="156" t="s">
        <v>118</v>
      </c>
      <c r="C35" s="1" t="s">
        <v>119</v>
      </c>
    </row>
    <row r="36" spans="1:3">
      <c r="A36" s="1">
        <v>1</v>
      </c>
      <c r="B36" s="156">
        <v>0</v>
      </c>
      <c r="C36" s="1">
        <v>0</v>
      </c>
    </row>
    <row r="37" spans="1:3">
      <c r="A37" s="1">
        <v>1</v>
      </c>
      <c r="B37" s="156">
        <v>4.1666666666666664E-2</v>
      </c>
      <c r="C37" s="1">
        <v>0</v>
      </c>
    </row>
    <row r="38" spans="1:3">
      <c r="A38" s="1">
        <v>1</v>
      </c>
      <c r="B38" s="156">
        <v>8.3333333333333329E-2</v>
      </c>
      <c r="C38" s="1">
        <v>0</v>
      </c>
    </row>
    <row r="39" spans="1:3">
      <c r="A39" s="1">
        <v>1</v>
      </c>
      <c r="B39" s="156">
        <v>0.125</v>
      </c>
      <c r="C39" s="1">
        <v>0</v>
      </c>
    </row>
    <row r="40" spans="1:3">
      <c r="A40" s="1">
        <v>1</v>
      </c>
      <c r="B40" s="156">
        <v>0.16666666666666666</v>
      </c>
      <c r="C40" s="1">
        <v>0</v>
      </c>
    </row>
    <row r="41" spans="1:3">
      <c r="A41" s="1">
        <v>1</v>
      </c>
      <c r="B41" s="156">
        <v>0.20833333333333334</v>
      </c>
      <c r="C41" s="1">
        <v>0</v>
      </c>
    </row>
    <row r="42" spans="1:3">
      <c r="A42" s="1">
        <v>1</v>
      </c>
      <c r="B42" s="156">
        <v>0.25</v>
      </c>
      <c r="C42" s="1">
        <v>0</v>
      </c>
    </row>
    <row r="43" spans="1:3">
      <c r="A43" s="1">
        <v>1</v>
      </c>
      <c r="B43" s="156">
        <v>0.29166666666666669</v>
      </c>
      <c r="C43" s="1">
        <v>0</v>
      </c>
    </row>
    <row r="44" spans="1:3">
      <c r="A44" s="1">
        <v>1</v>
      </c>
      <c r="B44" s="156">
        <v>0.33333333333333331</v>
      </c>
      <c r="C44" s="1">
        <v>0</v>
      </c>
    </row>
    <row r="45" spans="1:3">
      <c r="A45" s="1">
        <v>1</v>
      </c>
      <c r="B45" s="156">
        <v>0.375</v>
      </c>
      <c r="C45" s="1">
        <v>42.38</v>
      </c>
    </row>
    <row r="46" spans="1:3">
      <c r="A46" s="1">
        <v>1</v>
      </c>
      <c r="B46" s="156">
        <v>0.41666666666666669</v>
      </c>
      <c r="C46" s="1">
        <v>92.99</v>
      </c>
    </row>
    <row r="47" spans="1:3">
      <c r="A47" s="1">
        <v>1</v>
      </c>
      <c r="B47" s="156">
        <v>0.45833333333333331</v>
      </c>
      <c r="C47" s="1">
        <v>114.8</v>
      </c>
    </row>
    <row r="48" spans="1:3">
      <c r="A48" s="1">
        <v>1</v>
      </c>
      <c r="B48" s="156">
        <v>0.5</v>
      </c>
      <c r="C48" s="1">
        <v>130.63999999999999</v>
      </c>
    </row>
    <row r="49" spans="1:3">
      <c r="A49" s="1">
        <v>1</v>
      </c>
      <c r="B49" s="156">
        <v>0.54166666666666663</v>
      </c>
      <c r="C49" s="1">
        <v>114.78</v>
      </c>
    </row>
    <row r="50" spans="1:3">
      <c r="A50" s="1">
        <v>1</v>
      </c>
      <c r="B50" s="156">
        <v>0.58333333333333337</v>
      </c>
      <c r="C50" s="1">
        <v>91.07</v>
      </c>
    </row>
    <row r="51" spans="1:3">
      <c r="A51" s="1">
        <v>1</v>
      </c>
      <c r="B51" s="156">
        <v>0.625</v>
      </c>
      <c r="C51" s="1">
        <v>46.94</v>
      </c>
    </row>
    <row r="52" spans="1:3">
      <c r="A52" s="1">
        <v>1</v>
      </c>
      <c r="B52" s="156">
        <v>0.66666666666666663</v>
      </c>
      <c r="C52" s="1">
        <v>1.55</v>
      </c>
    </row>
    <row r="53" spans="1:3">
      <c r="A53" s="1">
        <v>1</v>
      </c>
      <c r="B53" s="156">
        <v>0.70833333333333337</v>
      </c>
      <c r="C53" s="1">
        <v>0</v>
      </c>
    </row>
    <row r="54" spans="1:3">
      <c r="A54" s="1">
        <v>1</v>
      </c>
      <c r="B54" s="156">
        <v>0.75</v>
      </c>
      <c r="C54" s="1">
        <v>0</v>
      </c>
    </row>
    <row r="55" spans="1:3">
      <c r="A55" s="1">
        <v>1</v>
      </c>
      <c r="B55" s="156">
        <v>0.79166666666666663</v>
      </c>
      <c r="C55" s="1">
        <v>0</v>
      </c>
    </row>
    <row r="56" spans="1:3">
      <c r="A56" s="1">
        <v>1</v>
      </c>
      <c r="B56" s="156">
        <v>0.83333333333333337</v>
      </c>
      <c r="C56" s="1">
        <v>0</v>
      </c>
    </row>
    <row r="57" spans="1:3">
      <c r="A57" s="1">
        <v>1</v>
      </c>
      <c r="B57" s="156">
        <v>0.875</v>
      </c>
      <c r="C57" s="1">
        <v>0</v>
      </c>
    </row>
    <row r="58" spans="1:3">
      <c r="A58" s="1">
        <v>1</v>
      </c>
      <c r="B58" s="156">
        <v>0.91666666666666663</v>
      </c>
      <c r="C58" s="1">
        <v>0</v>
      </c>
    </row>
    <row r="59" spans="1:3">
      <c r="A59" s="1">
        <v>1</v>
      </c>
      <c r="B59" s="156">
        <v>0.95833333333333337</v>
      </c>
      <c r="C59" s="1">
        <v>0</v>
      </c>
    </row>
    <row r="60" spans="1:3">
      <c r="A60" s="1">
        <v>2</v>
      </c>
      <c r="B60" s="156">
        <v>0</v>
      </c>
      <c r="C60" s="1">
        <v>0</v>
      </c>
    </row>
    <row r="61" spans="1:3">
      <c r="A61" s="1">
        <v>2</v>
      </c>
      <c r="B61" s="156">
        <v>4.1666666666666664E-2</v>
      </c>
      <c r="C61" s="1">
        <v>0</v>
      </c>
    </row>
    <row r="62" spans="1:3">
      <c r="A62" s="1">
        <v>2</v>
      </c>
      <c r="B62" s="156">
        <v>8.3333333333333329E-2</v>
      </c>
      <c r="C62" s="1">
        <v>0</v>
      </c>
    </row>
    <row r="63" spans="1:3">
      <c r="A63" s="1">
        <v>2</v>
      </c>
      <c r="B63" s="156">
        <v>0.125</v>
      </c>
      <c r="C63" s="1">
        <v>0</v>
      </c>
    </row>
    <row r="64" spans="1:3">
      <c r="A64" s="1">
        <v>2</v>
      </c>
      <c r="B64" s="156">
        <v>0.16666666666666666</v>
      </c>
      <c r="C64" s="1">
        <v>0</v>
      </c>
    </row>
    <row r="65" spans="1:3">
      <c r="A65" s="1">
        <v>2</v>
      </c>
      <c r="B65" s="156">
        <v>0.20833333333333334</v>
      </c>
      <c r="C65" s="1">
        <v>0</v>
      </c>
    </row>
    <row r="66" spans="1:3">
      <c r="A66" s="1">
        <v>2</v>
      </c>
      <c r="B66" s="156">
        <v>0.25</v>
      </c>
      <c r="C66" s="1">
        <v>0</v>
      </c>
    </row>
    <row r="67" spans="1:3">
      <c r="A67" s="1">
        <v>2</v>
      </c>
      <c r="B67" s="156">
        <v>0.29166666666666669</v>
      </c>
      <c r="C67" s="1">
        <v>0</v>
      </c>
    </row>
    <row r="68" spans="1:3">
      <c r="A68" s="1">
        <v>2</v>
      </c>
      <c r="B68" s="156">
        <v>0.33333333333333331</v>
      </c>
      <c r="C68" s="1">
        <v>39.020000000000003</v>
      </c>
    </row>
    <row r="69" spans="1:3">
      <c r="A69" s="1">
        <v>2</v>
      </c>
      <c r="B69" s="156">
        <v>0.375</v>
      </c>
      <c r="C69" s="1">
        <v>116.28</v>
      </c>
    </row>
    <row r="70" spans="1:3">
      <c r="A70" s="1">
        <v>2</v>
      </c>
      <c r="B70" s="156">
        <v>0.41666666666666669</v>
      </c>
      <c r="C70" s="1">
        <v>172.94</v>
      </c>
    </row>
    <row r="71" spans="1:3">
      <c r="A71" s="1">
        <v>2</v>
      </c>
      <c r="B71" s="156">
        <v>0.45833333333333331</v>
      </c>
      <c r="C71" s="1">
        <v>196.4</v>
      </c>
    </row>
    <row r="72" spans="1:3">
      <c r="A72" s="1">
        <v>2</v>
      </c>
      <c r="B72" s="156">
        <v>0.5</v>
      </c>
      <c r="C72" s="1">
        <v>215.24</v>
      </c>
    </row>
    <row r="73" spans="1:3">
      <c r="A73" s="1">
        <v>2</v>
      </c>
      <c r="B73" s="156">
        <v>0.54166666666666663</v>
      </c>
      <c r="C73" s="1">
        <v>185.85</v>
      </c>
    </row>
    <row r="74" spans="1:3">
      <c r="A74" s="1">
        <v>2</v>
      </c>
      <c r="B74" s="156">
        <v>0.58333333333333337</v>
      </c>
      <c r="C74" s="1">
        <v>163.27000000000001</v>
      </c>
    </row>
    <row r="75" spans="1:3">
      <c r="A75" s="1">
        <v>2</v>
      </c>
      <c r="B75" s="156">
        <v>0.625</v>
      </c>
      <c r="C75" s="1">
        <v>115.54</v>
      </c>
    </row>
    <row r="76" spans="1:3">
      <c r="A76" s="1">
        <v>2</v>
      </c>
      <c r="B76" s="156">
        <v>0.66666666666666663</v>
      </c>
      <c r="C76" s="1">
        <v>59.07</v>
      </c>
    </row>
    <row r="77" spans="1:3">
      <c r="A77" s="1">
        <v>2</v>
      </c>
      <c r="B77" s="156">
        <v>0.70833333333333337</v>
      </c>
      <c r="C77" s="1">
        <v>2.04</v>
      </c>
    </row>
    <row r="78" spans="1:3">
      <c r="A78" s="1">
        <v>2</v>
      </c>
      <c r="B78" s="156">
        <v>0.75</v>
      </c>
      <c r="C78" s="1">
        <v>0</v>
      </c>
    </row>
    <row r="79" spans="1:3">
      <c r="A79" s="1">
        <v>2</v>
      </c>
      <c r="B79" s="156">
        <v>0.79166666666666663</v>
      </c>
      <c r="C79" s="1">
        <v>0</v>
      </c>
    </row>
    <row r="80" spans="1:3">
      <c r="A80" s="1">
        <v>2</v>
      </c>
      <c r="B80" s="156">
        <v>0.83333333333333337</v>
      </c>
      <c r="C80" s="1">
        <v>0</v>
      </c>
    </row>
    <row r="81" spans="1:3">
      <c r="A81" s="1">
        <v>2</v>
      </c>
      <c r="B81" s="156">
        <v>0.875</v>
      </c>
      <c r="C81" s="1">
        <v>0</v>
      </c>
    </row>
    <row r="82" spans="1:3">
      <c r="A82" s="1">
        <v>2</v>
      </c>
      <c r="B82" s="156">
        <v>0.91666666666666663</v>
      </c>
      <c r="C82" s="1">
        <v>0</v>
      </c>
    </row>
    <row r="83" spans="1:3">
      <c r="A83" s="1">
        <v>2</v>
      </c>
      <c r="B83" s="156">
        <v>0.95833333333333337</v>
      </c>
      <c r="C83" s="1">
        <v>0</v>
      </c>
    </row>
    <row r="84" spans="1:3">
      <c r="A84" s="1">
        <v>3</v>
      </c>
      <c r="B84" s="156">
        <v>0</v>
      </c>
      <c r="C84" s="1">
        <v>0</v>
      </c>
    </row>
    <row r="85" spans="1:3">
      <c r="A85" s="1">
        <v>3</v>
      </c>
      <c r="B85" s="156">
        <v>4.1666666666666664E-2</v>
      </c>
      <c r="C85" s="1">
        <v>0</v>
      </c>
    </row>
    <row r="86" spans="1:3">
      <c r="A86" s="1">
        <v>3</v>
      </c>
      <c r="B86" s="156">
        <v>8.3333333333333329E-2</v>
      </c>
      <c r="C86" s="1">
        <v>0</v>
      </c>
    </row>
    <row r="87" spans="1:3">
      <c r="A87" s="1">
        <v>3</v>
      </c>
      <c r="B87" s="156">
        <v>0.125</v>
      </c>
      <c r="C87" s="1">
        <v>0</v>
      </c>
    </row>
    <row r="88" spans="1:3">
      <c r="A88" s="1">
        <v>3</v>
      </c>
      <c r="B88" s="156">
        <v>0.16666666666666666</v>
      </c>
      <c r="C88" s="1">
        <v>0</v>
      </c>
    </row>
    <row r="89" spans="1:3">
      <c r="A89" s="1">
        <v>3</v>
      </c>
      <c r="B89" s="156">
        <v>0.20833333333333334</v>
      </c>
      <c r="C89" s="1">
        <v>0</v>
      </c>
    </row>
    <row r="90" spans="1:3">
      <c r="A90" s="1">
        <v>3</v>
      </c>
      <c r="B90" s="156">
        <v>0.25</v>
      </c>
      <c r="C90" s="1">
        <v>0.3</v>
      </c>
    </row>
    <row r="91" spans="1:3">
      <c r="A91" s="1">
        <v>3</v>
      </c>
      <c r="B91" s="156">
        <v>0.29166666666666669</v>
      </c>
      <c r="C91" s="1">
        <v>44.6</v>
      </c>
    </row>
    <row r="92" spans="1:3">
      <c r="A92" s="1">
        <v>3</v>
      </c>
      <c r="B92" s="156">
        <v>0.33333333333333331</v>
      </c>
      <c r="C92" s="1">
        <v>137.15</v>
      </c>
    </row>
    <row r="93" spans="1:3">
      <c r="A93" s="1">
        <v>3</v>
      </c>
      <c r="B93" s="156">
        <v>0.375</v>
      </c>
      <c r="C93" s="1">
        <v>223.17</v>
      </c>
    </row>
    <row r="94" spans="1:3">
      <c r="A94" s="1">
        <v>3</v>
      </c>
      <c r="B94" s="156">
        <v>0.41666666666666669</v>
      </c>
      <c r="C94" s="1">
        <v>295.22000000000003</v>
      </c>
    </row>
    <row r="95" spans="1:3">
      <c r="A95" s="1">
        <v>3</v>
      </c>
      <c r="B95" s="156">
        <v>0.45833333333333331</v>
      </c>
      <c r="C95" s="1">
        <v>339.27</v>
      </c>
    </row>
    <row r="96" spans="1:3">
      <c r="A96" s="1">
        <v>3</v>
      </c>
      <c r="B96" s="156">
        <v>0.5</v>
      </c>
      <c r="C96" s="1">
        <v>356.28</v>
      </c>
    </row>
    <row r="97" spans="1:3">
      <c r="A97" s="1">
        <v>3</v>
      </c>
      <c r="B97" s="156">
        <v>0.54166666666666663</v>
      </c>
      <c r="C97" s="1">
        <v>312.69</v>
      </c>
    </row>
    <row r="98" spans="1:3">
      <c r="A98" s="1">
        <v>3</v>
      </c>
      <c r="B98" s="156">
        <v>0.58333333333333337</v>
      </c>
      <c r="C98" s="1">
        <v>290.43</v>
      </c>
    </row>
    <row r="99" spans="1:3">
      <c r="A99" s="1">
        <v>3</v>
      </c>
      <c r="B99" s="156">
        <v>0.625</v>
      </c>
      <c r="C99" s="1">
        <v>233.46</v>
      </c>
    </row>
    <row r="100" spans="1:3">
      <c r="A100" s="1">
        <v>3</v>
      </c>
      <c r="B100" s="156">
        <v>0.66666666666666663</v>
      </c>
      <c r="C100" s="1">
        <v>158.63999999999999</v>
      </c>
    </row>
    <row r="101" spans="1:3">
      <c r="A101" s="1">
        <v>3</v>
      </c>
      <c r="B101" s="156">
        <v>0.70833333333333337</v>
      </c>
      <c r="C101" s="1">
        <v>70.92</v>
      </c>
    </row>
    <row r="102" spans="1:3">
      <c r="A102" s="1">
        <v>3</v>
      </c>
      <c r="B102" s="156">
        <v>0.75</v>
      </c>
      <c r="C102" s="1">
        <v>1.46</v>
      </c>
    </row>
    <row r="103" spans="1:3">
      <c r="A103" s="1">
        <v>3</v>
      </c>
      <c r="B103" s="156">
        <v>0.79166666666666663</v>
      </c>
      <c r="C103" s="1">
        <v>0</v>
      </c>
    </row>
    <row r="104" spans="1:3">
      <c r="A104" s="1">
        <v>3</v>
      </c>
      <c r="B104" s="156">
        <v>0.83333333333333337</v>
      </c>
      <c r="C104" s="1">
        <v>0</v>
      </c>
    </row>
    <row r="105" spans="1:3">
      <c r="A105" s="1">
        <v>3</v>
      </c>
      <c r="B105" s="156">
        <v>0.875</v>
      </c>
      <c r="C105" s="1">
        <v>0</v>
      </c>
    </row>
    <row r="106" spans="1:3">
      <c r="A106" s="1">
        <v>3</v>
      </c>
      <c r="B106" s="156">
        <v>0.91666666666666663</v>
      </c>
      <c r="C106" s="1">
        <v>0</v>
      </c>
    </row>
    <row r="107" spans="1:3">
      <c r="A107" s="1">
        <v>3</v>
      </c>
      <c r="B107" s="156">
        <v>0.95833333333333337</v>
      </c>
      <c r="C107" s="1">
        <v>0</v>
      </c>
    </row>
    <row r="108" spans="1:3">
      <c r="A108" s="1">
        <v>4</v>
      </c>
      <c r="B108" s="156">
        <v>0</v>
      </c>
      <c r="C108" s="1">
        <v>0</v>
      </c>
    </row>
    <row r="109" spans="1:3">
      <c r="A109" s="1">
        <v>4</v>
      </c>
      <c r="B109" s="156">
        <v>4.1666666666666664E-2</v>
      </c>
      <c r="C109" s="1">
        <v>0</v>
      </c>
    </row>
    <row r="110" spans="1:3">
      <c r="A110" s="1">
        <v>4</v>
      </c>
      <c r="B110" s="156">
        <v>8.3333333333333329E-2</v>
      </c>
      <c r="C110" s="1">
        <v>0</v>
      </c>
    </row>
    <row r="111" spans="1:3">
      <c r="A111" s="1">
        <v>4</v>
      </c>
      <c r="B111" s="156">
        <v>0.125</v>
      </c>
      <c r="C111" s="1">
        <v>0</v>
      </c>
    </row>
    <row r="112" spans="1:3">
      <c r="A112" s="1">
        <v>4</v>
      </c>
      <c r="B112" s="156">
        <v>0.16666666666666666</v>
      </c>
      <c r="C112" s="1">
        <v>0</v>
      </c>
    </row>
    <row r="113" spans="1:3">
      <c r="A113" s="1">
        <v>4</v>
      </c>
      <c r="B113" s="156">
        <v>0.20833333333333334</v>
      </c>
      <c r="C113" s="1">
        <v>0.7</v>
      </c>
    </row>
    <row r="114" spans="1:3">
      <c r="A114" s="1">
        <v>4</v>
      </c>
      <c r="B114" s="156">
        <v>0.25</v>
      </c>
      <c r="C114" s="1">
        <v>59.45</v>
      </c>
    </row>
    <row r="115" spans="1:3">
      <c r="A115" s="1">
        <v>4</v>
      </c>
      <c r="B115" s="156">
        <v>0.29166666666666669</v>
      </c>
      <c r="C115" s="1">
        <v>169.88</v>
      </c>
    </row>
    <row r="116" spans="1:3">
      <c r="A116" s="1">
        <v>4</v>
      </c>
      <c r="B116" s="156">
        <v>0.33333333333333331</v>
      </c>
      <c r="C116" s="1">
        <v>298.10000000000002</v>
      </c>
    </row>
    <row r="117" spans="1:3">
      <c r="A117" s="1">
        <v>4</v>
      </c>
      <c r="B117" s="156">
        <v>0.375</v>
      </c>
      <c r="C117" s="1">
        <v>418.21</v>
      </c>
    </row>
    <row r="118" spans="1:3">
      <c r="A118" s="1">
        <v>4</v>
      </c>
      <c r="B118" s="156">
        <v>0.41666666666666669</v>
      </c>
      <c r="C118" s="1">
        <v>496.13</v>
      </c>
    </row>
    <row r="119" spans="1:3">
      <c r="A119" s="1">
        <v>4</v>
      </c>
      <c r="B119" s="156">
        <v>0.45833333333333331</v>
      </c>
      <c r="C119" s="1">
        <v>517.39</v>
      </c>
    </row>
    <row r="120" spans="1:3">
      <c r="A120" s="1">
        <v>4</v>
      </c>
      <c r="B120" s="156">
        <v>0.5</v>
      </c>
      <c r="C120" s="1">
        <v>511.04</v>
      </c>
    </row>
    <row r="121" spans="1:3">
      <c r="A121" s="1">
        <v>4</v>
      </c>
      <c r="B121" s="156">
        <v>0.54166666666666663</v>
      </c>
      <c r="C121" s="1">
        <v>489.69</v>
      </c>
    </row>
    <row r="122" spans="1:3">
      <c r="A122" s="1">
        <v>4</v>
      </c>
      <c r="B122" s="156">
        <v>0.58333333333333337</v>
      </c>
      <c r="C122" s="1">
        <v>433.87</v>
      </c>
    </row>
    <row r="123" spans="1:3">
      <c r="A123" s="1">
        <v>4</v>
      </c>
      <c r="B123" s="156">
        <v>0.625</v>
      </c>
      <c r="C123" s="1">
        <v>368.97</v>
      </c>
    </row>
    <row r="124" spans="1:3">
      <c r="A124" s="1">
        <v>4</v>
      </c>
      <c r="B124" s="156">
        <v>0.66666666666666663</v>
      </c>
      <c r="C124" s="1">
        <v>269.37</v>
      </c>
    </row>
    <row r="125" spans="1:3">
      <c r="A125" s="1">
        <v>4</v>
      </c>
      <c r="B125" s="156">
        <v>0.70833333333333337</v>
      </c>
      <c r="C125" s="1">
        <v>170.45</v>
      </c>
    </row>
    <row r="126" spans="1:3">
      <c r="A126" s="1">
        <v>4</v>
      </c>
      <c r="B126" s="156">
        <v>0.75</v>
      </c>
      <c r="C126" s="1">
        <v>60.87</v>
      </c>
    </row>
    <row r="127" spans="1:3">
      <c r="A127" s="1">
        <v>4</v>
      </c>
      <c r="B127" s="156">
        <v>0.79166666666666663</v>
      </c>
      <c r="C127" s="1">
        <v>7.0000000000000007E-2</v>
      </c>
    </row>
    <row r="128" spans="1:3">
      <c r="A128" s="1">
        <v>4</v>
      </c>
      <c r="B128" s="156">
        <v>0.83333333333333337</v>
      </c>
      <c r="C128" s="1">
        <v>0</v>
      </c>
    </row>
    <row r="129" spans="1:3">
      <c r="A129" s="1">
        <v>4</v>
      </c>
      <c r="B129" s="156">
        <v>0.875</v>
      </c>
      <c r="C129" s="1">
        <v>0</v>
      </c>
    </row>
    <row r="130" spans="1:3">
      <c r="A130" s="1">
        <v>4</v>
      </c>
      <c r="B130" s="156">
        <v>0.91666666666666663</v>
      </c>
      <c r="C130" s="1">
        <v>0</v>
      </c>
    </row>
    <row r="131" spans="1:3">
      <c r="A131" s="1">
        <v>4</v>
      </c>
      <c r="B131" s="156">
        <v>0.95833333333333337</v>
      </c>
      <c r="C131" s="1">
        <v>0</v>
      </c>
    </row>
    <row r="132" spans="1:3">
      <c r="A132" s="1">
        <v>5</v>
      </c>
      <c r="B132" s="156">
        <v>0</v>
      </c>
      <c r="C132" s="1">
        <v>0</v>
      </c>
    </row>
    <row r="133" spans="1:3">
      <c r="A133" s="1">
        <v>5</v>
      </c>
      <c r="B133" s="156">
        <v>4.1666666666666664E-2</v>
      </c>
      <c r="C133" s="1">
        <v>0</v>
      </c>
    </row>
    <row r="134" spans="1:3">
      <c r="A134" s="1">
        <v>5</v>
      </c>
      <c r="B134" s="156">
        <v>8.3333333333333329E-2</v>
      </c>
      <c r="C134" s="1">
        <v>0</v>
      </c>
    </row>
    <row r="135" spans="1:3">
      <c r="A135" s="1">
        <v>5</v>
      </c>
      <c r="B135" s="156">
        <v>0.125</v>
      </c>
      <c r="C135" s="1">
        <v>0</v>
      </c>
    </row>
    <row r="136" spans="1:3">
      <c r="A136" s="1">
        <v>5</v>
      </c>
      <c r="B136" s="156">
        <v>0.16666666666666666</v>
      </c>
      <c r="C136" s="1">
        <v>0</v>
      </c>
    </row>
    <row r="137" spans="1:3">
      <c r="A137" s="1">
        <v>5</v>
      </c>
      <c r="B137" s="156">
        <v>0.20833333333333334</v>
      </c>
      <c r="C137" s="1">
        <v>36.53</v>
      </c>
    </row>
    <row r="138" spans="1:3">
      <c r="A138" s="1">
        <v>5</v>
      </c>
      <c r="B138" s="156">
        <v>0.25</v>
      </c>
      <c r="C138" s="1">
        <v>127.53</v>
      </c>
    </row>
    <row r="139" spans="1:3">
      <c r="A139" s="1">
        <v>5</v>
      </c>
      <c r="B139" s="156">
        <v>0.29166666666666669</v>
      </c>
      <c r="C139" s="1">
        <v>246.1</v>
      </c>
    </row>
    <row r="140" spans="1:3">
      <c r="A140" s="1">
        <v>5</v>
      </c>
      <c r="B140" s="156">
        <v>0.33333333333333331</v>
      </c>
      <c r="C140" s="1">
        <v>369.01</v>
      </c>
    </row>
    <row r="141" spans="1:3">
      <c r="A141" s="1">
        <v>5</v>
      </c>
      <c r="B141" s="156">
        <v>0.375</v>
      </c>
      <c r="C141" s="1">
        <v>472.56</v>
      </c>
    </row>
    <row r="142" spans="1:3">
      <c r="A142" s="1">
        <v>5</v>
      </c>
      <c r="B142" s="156">
        <v>0.41666666666666669</v>
      </c>
      <c r="C142" s="1">
        <v>540.42999999999995</v>
      </c>
    </row>
    <row r="143" spans="1:3">
      <c r="A143" s="1">
        <v>5</v>
      </c>
      <c r="B143" s="156">
        <v>0.45833333333333331</v>
      </c>
      <c r="C143" s="1">
        <v>557.29999999999995</v>
      </c>
    </row>
    <row r="144" spans="1:3">
      <c r="A144" s="1">
        <v>5</v>
      </c>
      <c r="B144" s="156">
        <v>0.5</v>
      </c>
      <c r="C144" s="1">
        <v>557.9</v>
      </c>
    </row>
    <row r="145" spans="1:3">
      <c r="A145" s="1">
        <v>5</v>
      </c>
      <c r="B145" s="156">
        <v>0.54166666666666663</v>
      </c>
      <c r="C145" s="1">
        <v>530.01</v>
      </c>
    </row>
    <row r="146" spans="1:3">
      <c r="A146" s="1">
        <v>5</v>
      </c>
      <c r="B146" s="156">
        <v>0.58333333333333337</v>
      </c>
      <c r="C146" s="1">
        <v>470.72</v>
      </c>
    </row>
    <row r="147" spans="1:3">
      <c r="A147" s="1">
        <v>5</v>
      </c>
      <c r="B147" s="156">
        <v>0.625</v>
      </c>
      <c r="C147" s="1">
        <v>402.45</v>
      </c>
    </row>
    <row r="148" spans="1:3">
      <c r="A148" s="1">
        <v>5</v>
      </c>
      <c r="B148" s="156">
        <v>0.66666666666666663</v>
      </c>
      <c r="C148" s="1">
        <v>324.69</v>
      </c>
    </row>
    <row r="149" spans="1:3">
      <c r="A149" s="1">
        <v>5</v>
      </c>
      <c r="B149" s="156">
        <v>0.70833333333333337</v>
      </c>
      <c r="C149" s="1">
        <v>221.43</v>
      </c>
    </row>
    <row r="150" spans="1:3">
      <c r="A150" s="1">
        <v>5</v>
      </c>
      <c r="B150" s="156">
        <v>0.75</v>
      </c>
      <c r="C150" s="1">
        <v>123.18</v>
      </c>
    </row>
    <row r="151" spans="1:3">
      <c r="A151" s="1">
        <v>5</v>
      </c>
      <c r="B151" s="156">
        <v>0.79166666666666663</v>
      </c>
      <c r="C151" s="1">
        <v>28.57</v>
      </c>
    </row>
    <row r="152" spans="1:3">
      <c r="A152" s="1">
        <v>5</v>
      </c>
      <c r="B152" s="156">
        <v>0.83333333333333337</v>
      </c>
      <c r="C152" s="1">
        <v>0</v>
      </c>
    </row>
    <row r="153" spans="1:3">
      <c r="A153" s="1">
        <v>5</v>
      </c>
      <c r="B153" s="156">
        <v>0.875</v>
      </c>
      <c r="C153" s="1">
        <v>0</v>
      </c>
    </row>
    <row r="154" spans="1:3">
      <c r="A154" s="1">
        <v>5</v>
      </c>
      <c r="B154" s="156">
        <v>0.91666666666666663</v>
      </c>
      <c r="C154" s="1">
        <v>0</v>
      </c>
    </row>
    <row r="155" spans="1:3">
      <c r="A155" s="1">
        <v>5</v>
      </c>
      <c r="B155" s="156">
        <v>0.95833333333333337</v>
      </c>
      <c r="C155" s="1">
        <v>0</v>
      </c>
    </row>
    <row r="156" spans="1:3">
      <c r="A156" s="1">
        <v>6</v>
      </c>
      <c r="B156" s="156">
        <v>0</v>
      </c>
      <c r="C156" s="1">
        <v>0</v>
      </c>
    </row>
    <row r="157" spans="1:3">
      <c r="A157" s="1">
        <v>6</v>
      </c>
      <c r="B157" s="156">
        <v>4.1666666666666664E-2</v>
      </c>
      <c r="C157" s="1">
        <v>0</v>
      </c>
    </row>
    <row r="158" spans="1:3">
      <c r="A158" s="1">
        <v>6</v>
      </c>
      <c r="B158" s="156">
        <v>8.3333333333333329E-2</v>
      </c>
      <c r="C158" s="1">
        <v>0</v>
      </c>
    </row>
    <row r="159" spans="1:3">
      <c r="A159" s="1">
        <v>6</v>
      </c>
      <c r="B159" s="156">
        <v>0.125</v>
      </c>
      <c r="C159" s="1">
        <v>0</v>
      </c>
    </row>
    <row r="160" spans="1:3">
      <c r="A160" s="1">
        <v>6</v>
      </c>
      <c r="B160" s="156">
        <v>0.16666666666666666</v>
      </c>
      <c r="C160" s="1">
        <v>1.57</v>
      </c>
    </row>
    <row r="161" spans="1:3">
      <c r="A161" s="1">
        <v>6</v>
      </c>
      <c r="B161" s="156">
        <v>0.20833333333333334</v>
      </c>
      <c r="C161" s="1">
        <v>58.39</v>
      </c>
    </row>
    <row r="162" spans="1:3">
      <c r="A162" s="1">
        <v>6</v>
      </c>
      <c r="B162" s="156">
        <v>0.25</v>
      </c>
      <c r="C162" s="1">
        <v>151.34</v>
      </c>
    </row>
    <row r="163" spans="1:3">
      <c r="A163" s="1">
        <v>6</v>
      </c>
      <c r="B163" s="156">
        <v>0.29166666666666669</v>
      </c>
      <c r="C163" s="1">
        <v>281.17</v>
      </c>
    </row>
    <row r="164" spans="1:3">
      <c r="A164" s="1">
        <v>6</v>
      </c>
      <c r="B164" s="156">
        <v>0.33333333333333331</v>
      </c>
      <c r="C164" s="1">
        <v>408.17</v>
      </c>
    </row>
    <row r="165" spans="1:3">
      <c r="A165" s="1">
        <v>6</v>
      </c>
      <c r="B165" s="156">
        <v>0.375</v>
      </c>
      <c r="C165" s="1">
        <v>510.14</v>
      </c>
    </row>
    <row r="166" spans="1:3">
      <c r="A166" s="1">
        <v>6</v>
      </c>
      <c r="B166" s="156">
        <v>0.41666666666666669</v>
      </c>
      <c r="C166" s="1">
        <v>566.94000000000005</v>
      </c>
    </row>
    <row r="167" spans="1:3">
      <c r="A167" s="1">
        <v>6</v>
      </c>
      <c r="B167" s="156">
        <v>0.45833333333333331</v>
      </c>
      <c r="C167" s="1">
        <v>595.70000000000005</v>
      </c>
    </row>
    <row r="168" spans="1:3">
      <c r="A168" s="1">
        <v>6</v>
      </c>
      <c r="B168" s="156">
        <v>0.5</v>
      </c>
      <c r="C168" s="1">
        <v>593.57000000000005</v>
      </c>
    </row>
    <row r="169" spans="1:3">
      <c r="A169" s="1">
        <v>6</v>
      </c>
      <c r="B169" s="156">
        <v>0.54166666666666663</v>
      </c>
      <c r="C169" s="1">
        <v>577.57000000000005</v>
      </c>
    </row>
    <row r="170" spans="1:3">
      <c r="A170" s="1">
        <v>6</v>
      </c>
      <c r="B170" s="156">
        <v>0.58333333333333337</v>
      </c>
      <c r="C170" s="1">
        <v>522.62</v>
      </c>
    </row>
    <row r="171" spans="1:3">
      <c r="A171" s="1">
        <v>6</v>
      </c>
      <c r="B171" s="156">
        <v>0.625</v>
      </c>
      <c r="C171" s="1">
        <v>449.88</v>
      </c>
    </row>
    <row r="172" spans="1:3">
      <c r="A172" s="1">
        <v>6</v>
      </c>
      <c r="B172" s="156">
        <v>0.66666666666666663</v>
      </c>
      <c r="C172" s="1">
        <v>385.15</v>
      </c>
    </row>
    <row r="173" spans="1:3">
      <c r="A173" s="1">
        <v>6</v>
      </c>
      <c r="B173" s="156">
        <v>0.70833333333333337</v>
      </c>
      <c r="C173" s="1">
        <v>272.26</v>
      </c>
    </row>
    <row r="174" spans="1:3">
      <c r="A174" s="1">
        <v>6</v>
      </c>
      <c r="B174" s="156">
        <v>0.75</v>
      </c>
      <c r="C174" s="1">
        <v>161.58000000000001</v>
      </c>
    </row>
    <row r="175" spans="1:3">
      <c r="A175" s="1">
        <v>6</v>
      </c>
      <c r="B175" s="156">
        <v>0.79166666666666663</v>
      </c>
      <c r="C175" s="1">
        <v>67.58</v>
      </c>
    </row>
    <row r="176" spans="1:3">
      <c r="A176" s="1">
        <v>6</v>
      </c>
      <c r="B176" s="156">
        <v>0.83333333333333337</v>
      </c>
      <c r="C176" s="1">
        <v>1.04</v>
      </c>
    </row>
    <row r="177" spans="1:3">
      <c r="A177" s="1">
        <v>6</v>
      </c>
      <c r="B177" s="156">
        <v>0.875</v>
      </c>
      <c r="C177" s="1">
        <v>0</v>
      </c>
    </row>
    <row r="178" spans="1:3">
      <c r="A178" s="1">
        <v>6</v>
      </c>
      <c r="B178" s="156">
        <v>0.91666666666666663</v>
      </c>
      <c r="C178" s="1">
        <v>0</v>
      </c>
    </row>
    <row r="179" spans="1:3">
      <c r="A179" s="1">
        <v>6</v>
      </c>
      <c r="B179" s="156">
        <v>0.95833333333333337</v>
      </c>
      <c r="C179" s="1">
        <v>0</v>
      </c>
    </row>
    <row r="180" spans="1:3">
      <c r="A180" s="1">
        <v>7</v>
      </c>
      <c r="B180" s="156">
        <v>0</v>
      </c>
      <c r="C180" s="1">
        <v>0</v>
      </c>
    </row>
    <row r="181" spans="1:3">
      <c r="A181" s="1">
        <v>7</v>
      </c>
      <c r="B181" s="156">
        <v>4.1666666666666664E-2</v>
      </c>
      <c r="C181" s="1">
        <v>0</v>
      </c>
    </row>
    <row r="182" spans="1:3">
      <c r="A182" s="1">
        <v>7</v>
      </c>
      <c r="B182" s="156">
        <v>8.3333333333333329E-2</v>
      </c>
      <c r="C182" s="1">
        <v>0</v>
      </c>
    </row>
    <row r="183" spans="1:3">
      <c r="A183" s="1">
        <v>7</v>
      </c>
      <c r="B183" s="156">
        <v>0.125</v>
      </c>
      <c r="C183" s="1">
        <v>0</v>
      </c>
    </row>
    <row r="184" spans="1:3">
      <c r="A184" s="1">
        <v>7</v>
      </c>
      <c r="B184" s="156">
        <v>0.16666666666666666</v>
      </c>
      <c r="C184" s="1">
        <v>0</v>
      </c>
    </row>
    <row r="185" spans="1:3">
      <c r="A185" s="1">
        <v>7</v>
      </c>
      <c r="B185" s="156">
        <v>0.20833333333333334</v>
      </c>
      <c r="C185" s="1">
        <v>39.42</v>
      </c>
    </row>
    <row r="186" spans="1:3">
      <c r="A186" s="1">
        <v>7</v>
      </c>
      <c r="B186" s="156">
        <v>0.25</v>
      </c>
      <c r="C186" s="1">
        <v>130.5</v>
      </c>
    </row>
    <row r="187" spans="1:3">
      <c r="A187" s="1">
        <v>7</v>
      </c>
      <c r="B187" s="156">
        <v>0.29166666666666669</v>
      </c>
      <c r="C187" s="1">
        <v>249.57</v>
      </c>
    </row>
    <row r="188" spans="1:3">
      <c r="A188" s="1">
        <v>7</v>
      </c>
      <c r="B188" s="156">
        <v>0.33333333333333331</v>
      </c>
      <c r="C188" s="1">
        <v>375.89</v>
      </c>
    </row>
    <row r="189" spans="1:3">
      <c r="A189" s="1">
        <v>7</v>
      </c>
      <c r="B189" s="156">
        <v>0.375</v>
      </c>
      <c r="C189" s="1">
        <v>481.86</v>
      </c>
    </row>
    <row r="190" spans="1:3">
      <c r="A190" s="1">
        <v>7</v>
      </c>
      <c r="B190" s="156">
        <v>0.41666666666666669</v>
      </c>
      <c r="C190" s="1">
        <v>544.22</v>
      </c>
    </row>
    <row r="191" spans="1:3">
      <c r="A191" s="1">
        <v>7</v>
      </c>
      <c r="B191" s="156">
        <v>0.45833333333333331</v>
      </c>
      <c r="C191" s="1">
        <v>563.05999999999995</v>
      </c>
    </row>
    <row r="192" spans="1:3">
      <c r="A192" s="1">
        <v>7</v>
      </c>
      <c r="B192" s="156">
        <v>0.5</v>
      </c>
      <c r="C192" s="1">
        <v>567.84</v>
      </c>
    </row>
    <row r="193" spans="1:3">
      <c r="A193" s="1">
        <v>7</v>
      </c>
      <c r="B193" s="156">
        <v>0.54166666666666663</v>
      </c>
      <c r="C193" s="1">
        <v>568.91</v>
      </c>
    </row>
    <row r="194" spans="1:3">
      <c r="A194" s="1">
        <v>7</v>
      </c>
      <c r="B194" s="156">
        <v>0.58333333333333337</v>
      </c>
      <c r="C194" s="1">
        <v>497.48</v>
      </c>
    </row>
    <row r="195" spans="1:3">
      <c r="A195" s="1">
        <v>7</v>
      </c>
      <c r="B195" s="156">
        <v>0.625</v>
      </c>
      <c r="C195" s="1">
        <v>451.84</v>
      </c>
    </row>
    <row r="196" spans="1:3">
      <c r="A196" s="1">
        <v>7</v>
      </c>
      <c r="B196" s="156">
        <v>0.66666666666666663</v>
      </c>
      <c r="C196" s="1">
        <v>368.11</v>
      </c>
    </row>
    <row r="197" spans="1:3">
      <c r="A197" s="1">
        <v>7</v>
      </c>
      <c r="B197" s="156">
        <v>0.70833333333333337</v>
      </c>
      <c r="C197" s="1">
        <v>268.55</v>
      </c>
    </row>
    <row r="198" spans="1:3">
      <c r="A198" s="1">
        <v>7</v>
      </c>
      <c r="B198" s="156">
        <v>0.75</v>
      </c>
      <c r="C198" s="1">
        <v>157.61000000000001</v>
      </c>
    </row>
    <row r="199" spans="1:3">
      <c r="A199" s="1">
        <v>7</v>
      </c>
      <c r="B199" s="156">
        <v>0.79166666666666663</v>
      </c>
      <c r="C199" s="1">
        <v>62.53</v>
      </c>
    </row>
    <row r="200" spans="1:3">
      <c r="A200" s="1">
        <v>7</v>
      </c>
      <c r="B200" s="156">
        <v>0.83333333333333337</v>
      </c>
      <c r="C200" s="1">
        <v>0.63</v>
      </c>
    </row>
    <row r="201" spans="1:3">
      <c r="A201" s="1">
        <v>7</v>
      </c>
      <c r="B201" s="156">
        <v>0.875</v>
      </c>
      <c r="C201" s="1">
        <v>0</v>
      </c>
    </row>
    <row r="202" spans="1:3">
      <c r="A202" s="1">
        <v>7</v>
      </c>
      <c r="B202" s="156">
        <v>0.91666666666666663</v>
      </c>
      <c r="C202" s="1">
        <v>0</v>
      </c>
    </row>
    <row r="203" spans="1:3">
      <c r="A203" s="1">
        <v>7</v>
      </c>
      <c r="B203" s="156">
        <v>0.95833333333333337</v>
      </c>
      <c r="C203" s="1">
        <v>0</v>
      </c>
    </row>
    <row r="204" spans="1:3">
      <c r="A204" s="1">
        <v>8</v>
      </c>
      <c r="B204" s="156">
        <v>0</v>
      </c>
      <c r="C204" s="1">
        <v>0</v>
      </c>
    </row>
    <row r="205" spans="1:3">
      <c r="A205" s="1">
        <v>8</v>
      </c>
      <c r="B205" s="156">
        <v>4.1666666666666664E-2</v>
      </c>
      <c r="C205" s="1">
        <v>0</v>
      </c>
    </row>
    <row r="206" spans="1:3">
      <c r="A206" s="1">
        <v>8</v>
      </c>
      <c r="B206" s="156">
        <v>8.3333333333333329E-2</v>
      </c>
      <c r="C206" s="1">
        <v>0</v>
      </c>
    </row>
    <row r="207" spans="1:3">
      <c r="A207" s="1">
        <v>8</v>
      </c>
      <c r="B207" s="156">
        <v>0.125</v>
      </c>
      <c r="C207" s="1">
        <v>0</v>
      </c>
    </row>
    <row r="208" spans="1:3">
      <c r="A208" s="1">
        <v>8</v>
      </c>
      <c r="B208" s="156">
        <v>0.16666666666666666</v>
      </c>
      <c r="C208" s="1">
        <v>0</v>
      </c>
    </row>
    <row r="209" spans="1:3">
      <c r="A209" s="1">
        <v>8</v>
      </c>
      <c r="B209" s="156">
        <v>0.20833333333333334</v>
      </c>
      <c r="C209" s="1">
        <v>6.62</v>
      </c>
    </row>
    <row r="210" spans="1:3">
      <c r="A210" s="1">
        <v>8</v>
      </c>
      <c r="B210" s="156">
        <v>0.25</v>
      </c>
      <c r="C210" s="1">
        <v>77.3</v>
      </c>
    </row>
    <row r="211" spans="1:3">
      <c r="A211" s="1">
        <v>8</v>
      </c>
      <c r="B211" s="156">
        <v>0.29166666666666669</v>
      </c>
      <c r="C211" s="1">
        <v>194.09</v>
      </c>
    </row>
    <row r="212" spans="1:3">
      <c r="A212" s="1">
        <v>8</v>
      </c>
      <c r="B212" s="156">
        <v>0.33333333333333331</v>
      </c>
      <c r="C212" s="1">
        <v>318.97000000000003</v>
      </c>
    </row>
    <row r="213" spans="1:3">
      <c r="A213" s="1">
        <v>8</v>
      </c>
      <c r="B213" s="156">
        <v>0.375</v>
      </c>
      <c r="C213" s="1">
        <v>427.37</v>
      </c>
    </row>
    <row r="214" spans="1:3">
      <c r="A214" s="1">
        <v>8</v>
      </c>
      <c r="B214" s="156">
        <v>0.41666666666666669</v>
      </c>
      <c r="C214" s="1">
        <v>502.01</v>
      </c>
    </row>
    <row r="215" spans="1:3">
      <c r="A215" s="1">
        <v>8</v>
      </c>
      <c r="B215" s="156">
        <v>0.45833333333333331</v>
      </c>
      <c r="C215" s="1">
        <v>512.39</v>
      </c>
    </row>
    <row r="216" spans="1:3">
      <c r="A216" s="1">
        <v>8</v>
      </c>
      <c r="B216" s="156">
        <v>0.5</v>
      </c>
      <c r="C216" s="1">
        <v>534.75</v>
      </c>
    </row>
    <row r="217" spans="1:3">
      <c r="A217" s="1">
        <v>8</v>
      </c>
      <c r="B217" s="156">
        <v>0.54166666666666663</v>
      </c>
      <c r="C217" s="1">
        <v>505.19</v>
      </c>
    </row>
    <row r="218" spans="1:3">
      <c r="A218" s="1">
        <v>8</v>
      </c>
      <c r="B218" s="156">
        <v>0.58333333333333337</v>
      </c>
      <c r="C218" s="1">
        <v>451.2</v>
      </c>
    </row>
    <row r="219" spans="1:3">
      <c r="A219" s="1">
        <v>8</v>
      </c>
      <c r="B219" s="156">
        <v>0.625</v>
      </c>
      <c r="C219" s="1">
        <v>377.86</v>
      </c>
    </row>
    <row r="220" spans="1:3">
      <c r="A220" s="1">
        <v>8</v>
      </c>
      <c r="B220" s="156">
        <v>0.66666666666666663</v>
      </c>
      <c r="C220" s="1">
        <v>302.18</v>
      </c>
    </row>
    <row r="221" spans="1:3">
      <c r="A221" s="1">
        <v>8</v>
      </c>
      <c r="B221" s="156">
        <v>0.70833333333333337</v>
      </c>
      <c r="C221" s="1">
        <v>204.11</v>
      </c>
    </row>
    <row r="222" spans="1:3">
      <c r="A222" s="1">
        <v>8</v>
      </c>
      <c r="B222" s="156">
        <v>0.75</v>
      </c>
      <c r="C222" s="1">
        <v>96.74</v>
      </c>
    </row>
    <row r="223" spans="1:3">
      <c r="A223" s="1">
        <v>8</v>
      </c>
      <c r="B223" s="156">
        <v>0.79166666666666663</v>
      </c>
      <c r="C223" s="1">
        <v>12.58</v>
      </c>
    </row>
    <row r="224" spans="1:3">
      <c r="A224" s="1">
        <v>8</v>
      </c>
      <c r="B224" s="156">
        <v>0.83333333333333337</v>
      </c>
      <c r="C224" s="1">
        <v>0</v>
      </c>
    </row>
    <row r="225" spans="1:3">
      <c r="A225" s="1">
        <v>8</v>
      </c>
      <c r="B225" s="156">
        <v>0.875</v>
      </c>
      <c r="C225" s="1">
        <v>0</v>
      </c>
    </row>
    <row r="226" spans="1:3">
      <c r="A226" s="1">
        <v>8</v>
      </c>
      <c r="B226" s="156">
        <v>0.91666666666666663</v>
      </c>
      <c r="C226" s="1">
        <v>0</v>
      </c>
    </row>
    <row r="227" spans="1:3">
      <c r="A227" s="1">
        <v>8</v>
      </c>
      <c r="B227" s="156">
        <v>0.95833333333333337</v>
      </c>
      <c r="C227" s="1">
        <v>0</v>
      </c>
    </row>
    <row r="228" spans="1:3">
      <c r="A228" s="1">
        <v>9</v>
      </c>
      <c r="B228" s="156">
        <v>0</v>
      </c>
      <c r="C228" s="1">
        <v>0</v>
      </c>
    </row>
    <row r="229" spans="1:3">
      <c r="A229" s="1">
        <v>9</v>
      </c>
      <c r="B229" s="156">
        <v>4.1666666666666664E-2</v>
      </c>
      <c r="C229" s="1">
        <v>0</v>
      </c>
    </row>
    <row r="230" spans="1:3">
      <c r="A230" s="1">
        <v>9</v>
      </c>
      <c r="B230" s="156">
        <v>8.3333333333333329E-2</v>
      </c>
      <c r="C230" s="1">
        <v>0</v>
      </c>
    </row>
    <row r="231" spans="1:3">
      <c r="A231" s="1">
        <v>9</v>
      </c>
      <c r="B231" s="156">
        <v>0.125</v>
      </c>
      <c r="C231" s="1">
        <v>0</v>
      </c>
    </row>
    <row r="232" spans="1:3">
      <c r="A232" s="1">
        <v>9</v>
      </c>
      <c r="B232" s="156">
        <v>0.16666666666666666</v>
      </c>
      <c r="C232" s="1">
        <v>0</v>
      </c>
    </row>
    <row r="233" spans="1:3">
      <c r="A233" s="1">
        <v>9</v>
      </c>
      <c r="B233" s="156">
        <v>0.20833333333333334</v>
      </c>
      <c r="C233" s="1">
        <v>0</v>
      </c>
    </row>
    <row r="234" spans="1:3">
      <c r="A234" s="1">
        <v>9</v>
      </c>
      <c r="B234" s="156">
        <v>0.25</v>
      </c>
      <c r="C234" s="1">
        <v>18.260000000000002</v>
      </c>
    </row>
    <row r="235" spans="1:3">
      <c r="A235" s="1">
        <v>9</v>
      </c>
      <c r="B235" s="156">
        <v>0.29166666666666669</v>
      </c>
      <c r="C235" s="1">
        <v>115.31</v>
      </c>
    </row>
    <row r="236" spans="1:3">
      <c r="A236" s="1">
        <v>9</v>
      </c>
      <c r="B236" s="156">
        <v>0.33333333333333331</v>
      </c>
      <c r="C236" s="1">
        <v>229.66</v>
      </c>
    </row>
    <row r="237" spans="1:3">
      <c r="A237" s="1">
        <v>9</v>
      </c>
      <c r="B237" s="156">
        <v>0.375</v>
      </c>
      <c r="C237" s="1">
        <v>334.98</v>
      </c>
    </row>
    <row r="238" spans="1:3">
      <c r="A238" s="1">
        <v>9</v>
      </c>
      <c r="B238" s="156">
        <v>0.41666666666666669</v>
      </c>
      <c r="C238" s="1">
        <v>410.09</v>
      </c>
    </row>
    <row r="239" spans="1:3">
      <c r="A239" s="1">
        <v>9</v>
      </c>
      <c r="B239" s="156">
        <v>0.45833333333333331</v>
      </c>
      <c r="C239" s="1">
        <v>436.96</v>
      </c>
    </row>
    <row r="240" spans="1:3">
      <c r="A240" s="1">
        <v>9</v>
      </c>
      <c r="B240" s="156">
        <v>0.5</v>
      </c>
      <c r="C240" s="1">
        <v>429.95</v>
      </c>
    </row>
    <row r="241" spans="1:3">
      <c r="A241" s="1">
        <v>9</v>
      </c>
      <c r="B241" s="156">
        <v>0.54166666666666663</v>
      </c>
      <c r="C241" s="1">
        <v>402.04</v>
      </c>
    </row>
    <row r="242" spans="1:3">
      <c r="A242" s="1">
        <v>9</v>
      </c>
      <c r="B242" s="156">
        <v>0.58333333333333337</v>
      </c>
      <c r="C242" s="1">
        <v>360.76</v>
      </c>
    </row>
    <row r="243" spans="1:3">
      <c r="A243" s="1">
        <v>9</v>
      </c>
      <c r="B243" s="156">
        <v>0.625</v>
      </c>
      <c r="C243" s="1">
        <v>280.74</v>
      </c>
    </row>
    <row r="244" spans="1:3">
      <c r="A244" s="1">
        <v>9</v>
      </c>
      <c r="B244" s="156">
        <v>0.66666666666666663</v>
      </c>
      <c r="C244" s="1">
        <v>186.01</v>
      </c>
    </row>
    <row r="245" spans="1:3">
      <c r="A245" s="1">
        <v>9</v>
      </c>
      <c r="B245" s="156">
        <v>0.70833333333333337</v>
      </c>
      <c r="C245" s="1">
        <v>94.71</v>
      </c>
    </row>
    <row r="246" spans="1:3">
      <c r="A246" s="1">
        <v>9</v>
      </c>
      <c r="B246" s="156">
        <v>0.75</v>
      </c>
      <c r="C246" s="1">
        <v>9.74</v>
      </c>
    </row>
    <row r="247" spans="1:3">
      <c r="A247" s="1">
        <v>9</v>
      </c>
      <c r="B247" s="156">
        <v>0.79166666666666663</v>
      </c>
      <c r="C247" s="1">
        <v>0</v>
      </c>
    </row>
    <row r="248" spans="1:3">
      <c r="A248" s="1">
        <v>9</v>
      </c>
      <c r="B248" s="156">
        <v>0.83333333333333337</v>
      </c>
      <c r="C248" s="1">
        <v>0</v>
      </c>
    </row>
    <row r="249" spans="1:3">
      <c r="A249" s="1">
        <v>9</v>
      </c>
      <c r="B249" s="156">
        <v>0.875</v>
      </c>
      <c r="C249" s="1">
        <v>0</v>
      </c>
    </row>
    <row r="250" spans="1:3">
      <c r="A250" s="1">
        <v>9</v>
      </c>
      <c r="B250" s="156">
        <v>0.91666666666666663</v>
      </c>
      <c r="C250" s="1">
        <v>0</v>
      </c>
    </row>
    <row r="251" spans="1:3">
      <c r="A251" s="1">
        <v>9</v>
      </c>
      <c r="B251" s="156">
        <v>0.95833333333333337</v>
      </c>
      <c r="C251" s="1">
        <v>0</v>
      </c>
    </row>
    <row r="252" spans="1:3">
      <c r="A252" s="1">
        <v>10</v>
      </c>
      <c r="B252" s="156">
        <v>0</v>
      </c>
      <c r="C252" s="1">
        <v>0</v>
      </c>
    </row>
    <row r="253" spans="1:3">
      <c r="A253" s="1">
        <v>10</v>
      </c>
      <c r="B253" s="156">
        <v>4.1666666666666664E-2</v>
      </c>
      <c r="C253" s="1">
        <v>0</v>
      </c>
    </row>
    <row r="254" spans="1:3">
      <c r="A254" s="1">
        <v>10</v>
      </c>
      <c r="B254" s="156">
        <v>8.3333333333333329E-2</v>
      </c>
      <c r="C254" s="1">
        <v>0</v>
      </c>
    </row>
    <row r="255" spans="1:3">
      <c r="A255" s="1">
        <v>10</v>
      </c>
      <c r="B255" s="156">
        <v>0.125</v>
      </c>
      <c r="C255" s="1">
        <v>0</v>
      </c>
    </row>
    <row r="256" spans="1:3">
      <c r="A256" s="1">
        <v>10</v>
      </c>
      <c r="B256" s="156">
        <v>0.16666666666666666</v>
      </c>
      <c r="C256" s="1">
        <v>0</v>
      </c>
    </row>
    <row r="257" spans="1:3">
      <c r="A257" s="1">
        <v>10</v>
      </c>
      <c r="B257" s="156">
        <v>0.20833333333333334</v>
      </c>
      <c r="C257" s="1">
        <v>0</v>
      </c>
    </row>
    <row r="258" spans="1:3">
      <c r="A258" s="1">
        <v>10</v>
      </c>
      <c r="B258" s="156">
        <v>0.25</v>
      </c>
      <c r="C258" s="1">
        <v>0</v>
      </c>
    </row>
    <row r="259" spans="1:3">
      <c r="A259" s="1">
        <v>10</v>
      </c>
      <c r="B259" s="156">
        <v>0.29166666666666669</v>
      </c>
      <c r="C259" s="1">
        <v>30.51</v>
      </c>
    </row>
    <row r="260" spans="1:3">
      <c r="A260" s="1">
        <v>10</v>
      </c>
      <c r="B260" s="156">
        <v>0.33333333333333331</v>
      </c>
      <c r="C260" s="1">
        <v>115.21</v>
      </c>
    </row>
    <row r="261" spans="1:3">
      <c r="A261" s="1">
        <v>10</v>
      </c>
      <c r="B261" s="156">
        <v>0.375</v>
      </c>
      <c r="C261" s="1">
        <v>192.21</v>
      </c>
    </row>
    <row r="262" spans="1:3">
      <c r="A262" s="1">
        <v>10</v>
      </c>
      <c r="B262" s="156">
        <v>0.41666666666666669</v>
      </c>
      <c r="C262" s="1">
        <v>243.72</v>
      </c>
    </row>
    <row r="263" spans="1:3">
      <c r="A263" s="1">
        <v>10</v>
      </c>
      <c r="B263" s="156">
        <v>0.45833333333333331</v>
      </c>
      <c r="C263" s="1">
        <v>287.5</v>
      </c>
    </row>
    <row r="264" spans="1:3">
      <c r="A264" s="1">
        <v>10</v>
      </c>
      <c r="B264" s="156">
        <v>0.5</v>
      </c>
      <c r="C264" s="1">
        <v>284.99</v>
      </c>
    </row>
    <row r="265" spans="1:3">
      <c r="A265" s="1">
        <v>10</v>
      </c>
      <c r="B265" s="156">
        <v>0.54166666666666663</v>
      </c>
      <c r="C265" s="1">
        <v>250.1</v>
      </c>
    </row>
    <row r="266" spans="1:3">
      <c r="A266" s="1">
        <v>10</v>
      </c>
      <c r="B266" s="156">
        <v>0.58333333333333337</v>
      </c>
      <c r="C266" s="1">
        <v>203.62</v>
      </c>
    </row>
    <row r="267" spans="1:3">
      <c r="A267" s="1">
        <v>10</v>
      </c>
      <c r="B267" s="156">
        <v>0.625</v>
      </c>
      <c r="C267" s="1">
        <v>139.75</v>
      </c>
    </row>
    <row r="268" spans="1:3">
      <c r="A268" s="1">
        <v>10</v>
      </c>
      <c r="B268" s="156">
        <v>0.66666666666666663</v>
      </c>
      <c r="C268" s="1">
        <v>64.78</v>
      </c>
    </row>
    <row r="269" spans="1:3">
      <c r="A269" s="1">
        <v>10</v>
      </c>
      <c r="B269" s="156">
        <v>0.70833333333333337</v>
      </c>
      <c r="C269" s="1">
        <v>2.57</v>
      </c>
    </row>
    <row r="270" spans="1:3">
      <c r="A270" s="1">
        <v>10</v>
      </c>
      <c r="B270" s="156">
        <v>0.75</v>
      </c>
      <c r="C270" s="1">
        <v>0</v>
      </c>
    </row>
    <row r="271" spans="1:3">
      <c r="A271" s="1">
        <v>10</v>
      </c>
      <c r="B271" s="156">
        <v>0.79166666666666663</v>
      </c>
      <c r="C271" s="1">
        <v>0</v>
      </c>
    </row>
    <row r="272" spans="1:3">
      <c r="A272" s="1">
        <v>10</v>
      </c>
      <c r="B272" s="156">
        <v>0.83333333333333337</v>
      </c>
      <c r="C272" s="1">
        <v>0</v>
      </c>
    </row>
    <row r="273" spans="1:3">
      <c r="A273" s="1">
        <v>10</v>
      </c>
      <c r="B273" s="156">
        <v>0.875</v>
      </c>
      <c r="C273" s="1">
        <v>0</v>
      </c>
    </row>
    <row r="274" spans="1:3">
      <c r="A274" s="1">
        <v>10</v>
      </c>
      <c r="B274" s="156">
        <v>0.91666666666666663</v>
      </c>
      <c r="C274" s="1">
        <v>0</v>
      </c>
    </row>
    <row r="275" spans="1:3">
      <c r="A275" s="1">
        <v>10</v>
      </c>
      <c r="B275" s="156">
        <v>0.95833333333333337</v>
      </c>
      <c r="C275" s="1">
        <v>0</v>
      </c>
    </row>
    <row r="276" spans="1:3">
      <c r="A276" s="1">
        <v>11</v>
      </c>
      <c r="B276" s="156">
        <v>0</v>
      </c>
      <c r="C276" s="1">
        <v>0</v>
      </c>
    </row>
    <row r="277" spans="1:3">
      <c r="A277" s="1">
        <v>11</v>
      </c>
      <c r="B277" s="156">
        <v>4.1666666666666664E-2</v>
      </c>
      <c r="C277" s="1">
        <v>0</v>
      </c>
    </row>
    <row r="278" spans="1:3">
      <c r="A278" s="1">
        <v>11</v>
      </c>
      <c r="B278" s="156">
        <v>8.3333333333333329E-2</v>
      </c>
      <c r="C278" s="1">
        <v>0</v>
      </c>
    </row>
    <row r="279" spans="1:3">
      <c r="A279" s="1">
        <v>11</v>
      </c>
      <c r="B279" s="156">
        <v>0.125</v>
      </c>
      <c r="C279" s="1">
        <v>0</v>
      </c>
    </row>
    <row r="280" spans="1:3">
      <c r="A280" s="1">
        <v>11</v>
      </c>
      <c r="B280" s="156">
        <v>0.16666666666666666</v>
      </c>
      <c r="C280" s="1">
        <v>0</v>
      </c>
    </row>
    <row r="281" spans="1:3">
      <c r="A281" s="1">
        <v>11</v>
      </c>
      <c r="B281" s="156">
        <v>0.20833333333333334</v>
      </c>
      <c r="C281" s="1">
        <v>0</v>
      </c>
    </row>
    <row r="282" spans="1:3">
      <c r="A282" s="1">
        <v>11</v>
      </c>
      <c r="B282" s="156">
        <v>0.25</v>
      </c>
      <c r="C282" s="1">
        <v>0</v>
      </c>
    </row>
    <row r="283" spans="1:3">
      <c r="A283" s="1">
        <v>11</v>
      </c>
      <c r="B283" s="156">
        <v>0.29166666666666669</v>
      </c>
      <c r="C283" s="1">
        <v>0</v>
      </c>
    </row>
    <row r="284" spans="1:3">
      <c r="A284" s="1">
        <v>11</v>
      </c>
      <c r="B284" s="156">
        <v>0.33333333333333331</v>
      </c>
      <c r="C284" s="1">
        <v>26.14</v>
      </c>
    </row>
    <row r="285" spans="1:3">
      <c r="A285" s="1">
        <v>11</v>
      </c>
      <c r="B285" s="156">
        <v>0.375</v>
      </c>
      <c r="C285" s="1">
        <v>85.28</v>
      </c>
    </row>
    <row r="286" spans="1:3">
      <c r="A286" s="1">
        <v>11</v>
      </c>
      <c r="B286" s="156">
        <v>0.41666666666666669</v>
      </c>
      <c r="C286" s="1">
        <v>119.47</v>
      </c>
    </row>
    <row r="287" spans="1:3">
      <c r="A287" s="1">
        <v>11</v>
      </c>
      <c r="B287" s="156">
        <v>0.45833333333333331</v>
      </c>
      <c r="C287" s="1">
        <v>154.97</v>
      </c>
    </row>
    <row r="288" spans="1:3">
      <c r="A288" s="1">
        <v>11</v>
      </c>
      <c r="B288" s="156">
        <v>0.5</v>
      </c>
      <c r="C288" s="1">
        <v>157.18</v>
      </c>
    </row>
    <row r="289" spans="1:3">
      <c r="A289" s="1">
        <v>11</v>
      </c>
      <c r="B289" s="156">
        <v>0.54166666666666663</v>
      </c>
      <c r="C289" s="1">
        <v>134.16999999999999</v>
      </c>
    </row>
    <row r="290" spans="1:3">
      <c r="A290" s="1">
        <v>11</v>
      </c>
      <c r="B290" s="156">
        <v>0.58333333333333337</v>
      </c>
      <c r="C290" s="1">
        <v>99.03</v>
      </c>
    </row>
    <row r="291" spans="1:3">
      <c r="A291" s="1">
        <v>11</v>
      </c>
      <c r="B291" s="156">
        <v>0.625</v>
      </c>
      <c r="C291" s="1">
        <v>47.99</v>
      </c>
    </row>
    <row r="292" spans="1:3">
      <c r="A292" s="1">
        <v>11</v>
      </c>
      <c r="B292" s="156">
        <v>0.66666666666666663</v>
      </c>
      <c r="C292" s="1">
        <v>1.22</v>
      </c>
    </row>
    <row r="293" spans="1:3">
      <c r="A293" s="1">
        <v>11</v>
      </c>
      <c r="B293" s="156">
        <v>0.70833333333333337</v>
      </c>
      <c r="C293" s="1">
        <v>0</v>
      </c>
    </row>
    <row r="294" spans="1:3">
      <c r="A294" s="1">
        <v>11</v>
      </c>
      <c r="B294" s="156">
        <v>0.75</v>
      </c>
      <c r="C294" s="1">
        <v>0</v>
      </c>
    </row>
    <row r="295" spans="1:3">
      <c r="A295" s="1">
        <v>11</v>
      </c>
      <c r="B295" s="156">
        <v>0.79166666666666663</v>
      </c>
      <c r="C295" s="1">
        <v>0</v>
      </c>
    </row>
    <row r="296" spans="1:3">
      <c r="A296" s="1">
        <v>11</v>
      </c>
      <c r="B296" s="156">
        <v>0.83333333333333337</v>
      </c>
      <c r="C296" s="1">
        <v>0</v>
      </c>
    </row>
    <row r="297" spans="1:3">
      <c r="A297" s="1">
        <v>11</v>
      </c>
      <c r="B297" s="156">
        <v>0.875</v>
      </c>
      <c r="C297" s="1">
        <v>0</v>
      </c>
    </row>
    <row r="298" spans="1:3">
      <c r="A298" s="1">
        <v>11</v>
      </c>
      <c r="B298" s="156">
        <v>0.91666666666666663</v>
      </c>
      <c r="C298" s="1">
        <v>0</v>
      </c>
    </row>
    <row r="299" spans="1:3">
      <c r="A299" s="1">
        <v>11</v>
      </c>
      <c r="B299" s="156">
        <v>0.95833333333333337</v>
      </c>
      <c r="C299" s="1">
        <v>0</v>
      </c>
    </row>
    <row r="300" spans="1:3">
      <c r="A300" s="1">
        <v>12</v>
      </c>
      <c r="B300" s="156">
        <v>0</v>
      </c>
      <c r="C300" s="1">
        <v>0</v>
      </c>
    </row>
    <row r="301" spans="1:3">
      <c r="A301" s="1">
        <v>12</v>
      </c>
      <c r="B301" s="156">
        <v>4.1666666666666664E-2</v>
      </c>
      <c r="C301" s="1">
        <v>0</v>
      </c>
    </row>
    <row r="302" spans="1:3">
      <c r="A302" s="1">
        <v>12</v>
      </c>
      <c r="B302" s="156">
        <v>8.3333333333333329E-2</v>
      </c>
      <c r="C302" s="1">
        <v>0</v>
      </c>
    </row>
    <row r="303" spans="1:3">
      <c r="A303" s="1">
        <v>12</v>
      </c>
      <c r="B303" s="156">
        <v>0.125</v>
      </c>
      <c r="C303" s="1">
        <v>0</v>
      </c>
    </row>
    <row r="304" spans="1:3">
      <c r="A304" s="1">
        <v>12</v>
      </c>
      <c r="B304" s="156">
        <v>0.16666666666666666</v>
      </c>
      <c r="C304" s="1">
        <v>0</v>
      </c>
    </row>
    <row r="305" spans="1:3">
      <c r="A305" s="1">
        <v>12</v>
      </c>
      <c r="B305" s="156">
        <v>0.20833333333333334</v>
      </c>
      <c r="C305" s="1">
        <v>0</v>
      </c>
    </row>
    <row r="306" spans="1:3">
      <c r="A306" s="1">
        <v>12</v>
      </c>
      <c r="B306" s="156">
        <v>0.25</v>
      </c>
      <c r="C306" s="1">
        <v>0</v>
      </c>
    </row>
    <row r="307" spans="1:3">
      <c r="A307" s="1">
        <v>12</v>
      </c>
      <c r="B307" s="156">
        <v>0.29166666666666669</v>
      </c>
      <c r="C307" s="1">
        <v>0</v>
      </c>
    </row>
    <row r="308" spans="1:3">
      <c r="A308" s="1">
        <v>12</v>
      </c>
      <c r="B308" s="156">
        <v>0.33333333333333331</v>
      </c>
      <c r="C308" s="1">
        <v>0</v>
      </c>
    </row>
    <row r="309" spans="1:3">
      <c r="A309" s="1">
        <v>12</v>
      </c>
      <c r="B309" s="156">
        <v>0.375</v>
      </c>
      <c r="C309" s="1">
        <v>35.93</v>
      </c>
    </row>
    <row r="310" spans="1:3">
      <c r="A310" s="1">
        <v>12</v>
      </c>
      <c r="B310" s="156">
        <v>0.41666666666666669</v>
      </c>
      <c r="C310" s="1">
        <v>81.78</v>
      </c>
    </row>
    <row r="311" spans="1:3">
      <c r="A311" s="1">
        <v>12</v>
      </c>
      <c r="B311" s="156">
        <v>0.45833333333333331</v>
      </c>
      <c r="C311" s="1">
        <v>105.03</v>
      </c>
    </row>
    <row r="312" spans="1:3">
      <c r="A312" s="1">
        <v>12</v>
      </c>
      <c r="B312" s="156">
        <v>0.5</v>
      </c>
      <c r="C312" s="1">
        <v>108.61</v>
      </c>
    </row>
    <row r="313" spans="1:3">
      <c r="A313" s="1">
        <v>12</v>
      </c>
      <c r="B313" s="156">
        <v>0.54166666666666663</v>
      </c>
      <c r="C313" s="1">
        <v>97.66</v>
      </c>
    </row>
    <row r="314" spans="1:3">
      <c r="A314" s="1">
        <v>12</v>
      </c>
      <c r="B314" s="156">
        <v>0.58333333333333337</v>
      </c>
      <c r="C314" s="1">
        <v>68.569999999999993</v>
      </c>
    </row>
    <row r="315" spans="1:3">
      <c r="A315" s="1">
        <v>12</v>
      </c>
      <c r="B315" s="156">
        <v>0.625</v>
      </c>
      <c r="C315" s="1">
        <v>22.13</v>
      </c>
    </row>
    <row r="316" spans="1:3">
      <c r="A316" s="1">
        <v>12</v>
      </c>
      <c r="B316" s="156">
        <v>0.66666666666666663</v>
      </c>
      <c r="C316" s="1">
        <v>0</v>
      </c>
    </row>
    <row r="317" spans="1:3">
      <c r="A317" s="1">
        <v>12</v>
      </c>
      <c r="B317" s="156">
        <v>0.70833333333333337</v>
      </c>
      <c r="C317" s="1">
        <v>0</v>
      </c>
    </row>
    <row r="318" spans="1:3">
      <c r="A318" s="1">
        <v>12</v>
      </c>
      <c r="B318" s="156">
        <v>0.75</v>
      </c>
      <c r="C318" s="1">
        <v>0</v>
      </c>
    </row>
    <row r="319" spans="1:3">
      <c r="A319" s="1">
        <v>12</v>
      </c>
      <c r="B319" s="156">
        <v>0.79166666666666663</v>
      </c>
      <c r="C319" s="1">
        <v>0</v>
      </c>
    </row>
    <row r="320" spans="1:3">
      <c r="A320" s="1">
        <v>12</v>
      </c>
      <c r="B320" s="156">
        <v>0.83333333333333337</v>
      </c>
      <c r="C320" s="1">
        <v>0</v>
      </c>
    </row>
    <row r="321" spans="1:3">
      <c r="A321" s="1">
        <v>12</v>
      </c>
      <c r="B321" s="156">
        <v>0.875</v>
      </c>
      <c r="C321" s="1">
        <v>0</v>
      </c>
    </row>
    <row r="322" spans="1:3">
      <c r="A322" s="1">
        <v>12</v>
      </c>
      <c r="B322" s="156">
        <v>0.91666666666666663</v>
      </c>
      <c r="C322" s="1">
        <v>0</v>
      </c>
    </row>
    <row r="323" spans="1:3">
      <c r="A323" s="1">
        <v>12</v>
      </c>
      <c r="B323" s="156">
        <v>0.95833333333333337</v>
      </c>
      <c r="C323" s="1">
        <v>0</v>
      </c>
    </row>
  </sheetData>
  <mergeCells count="3">
    <mergeCell ref="D1:J6"/>
    <mergeCell ref="D7:J12"/>
    <mergeCell ref="D13:J18"/>
  </mergeCells>
  <pageMargins left="0.7" right="0.7" top="0.78740157499999996" bottom="0.78740157499999996" header="0.3" footer="0.3"/>
  <pageSetup paperSize="9" orientation="portrait" r:id="rId1"/>
  <headerFooter>
    <oddFooter>&amp;C&amp;1#&amp;"Arial"&amp;10&amp;K000000Internal</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10</vt:i4>
      </vt:variant>
    </vt:vector>
  </HeadingPairs>
  <TitlesOfParts>
    <vt:vector size="15" baseType="lpstr">
      <vt:lpstr>Start</vt:lpstr>
      <vt:lpstr>Dateneingabe</vt:lpstr>
      <vt:lpstr>Wärmepumpe</vt:lpstr>
      <vt:lpstr>Solarabsorber</vt:lpstr>
      <vt:lpstr>Hilfsdaten</vt:lpstr>
      <vt:lpstr>Dateneingabe!Druckbereich</vt:lpstr>
      <vt:lpstr>Solarabsorber!Druckbereich</vt:lpstr>
      <vt:lpstr>Wärmepumpe!Druckbereich</vt:lpstr>
      <vt:lpstr>Hilfsdaten!ExterneDaten_1</vt:lpstr>
      <vt:lpstr>Hilfsdaten!ExterneDaten_2</vt:lpstr>
      <vt:lpstr>Hilfsdaten!ExterneDaten_3</vt:lpstr>
      <vt:lpstr>Hilfsdaten!ExterneDaten_4</vt:lpstr>
      <vt:lpstr>Hilfsdaten!ExterneDaten_5</vt:lpstr>
      <vt:lpstr>Hilfsdaten!ExterneDaten_6</vt:lpstr>
      <vt:lpstr>Hilfsdaten!ExterneDaten_7</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cp:lastPrinted>2021-09-20T03:26:42Z</cp:lastPrinted>
  <dcterms:created xsi:type="dcterms:W3CDTF">2021-07-08T19:26:26Z</dcterms:created>
  <dcterms:modified xsi:type="dcterms:W3CDTF">2021-09-27T16:59:35Z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c00982-80e1-41e6-a03a-12f4ca954faf_Enabled">
    <vt:lpwstr>True</vt:lpwstr>
  </property>
  <property fmtid="{D5CDD505-2E9C-101B-9397-08002B2CF9AE}" pid="3" name="MSIP_Label_c8c00982-80e1-41e6-a03a-12f4ca954faf_SiteId">
    <vt:lpwstr>ecaa386b-c8df-4ce0-ad01-740cbdb5ba55</vt:lpwstr>
  </property>
  <property fmtid="{D5CDD505-2E9C-101B-9397-08002B2CF9AE}" pid="4" name="MSIP_Label_c8c00982-80e1-41e6-a03a-12f4ca954faf_Owner">
    <vt:lpwstr>SchlenM7@basfad.basf.net</vt:lpwstr>
  </property>
  <property fmtid="{D5CDD505-2E9C-101B-9397-08002B2CF9AE}" pid="5" name="MSIP_Label_c8c00982-80e1-41e6-a03a-12f4ca954faf_SetDate">
    <vt:lpwstr>2021-09-14T06:10:15.9851856Z</vt:lpwstr>
  </property>
  <property fmtid="{D5CDD505-2E9C-101B-9397-08002B2CF9AE}" pid="6" name="MSIP_Label_c8c00982-80e1-41e6-a03a-12f4ca954faf_Name">
    <vt:lpwstr>Internal</vt:lpwstr>
  </property>
  <property fmtid="{D5CDD505-2E9C-101B-9397-08002B2CF9AE}" pid="7" name="MSIP_Label_c8c00982-80e1-41e6-a03a-12f4ca954faf_Application">
    <vt:lpwstr>Microsoft Azure Information Protection</vt:lpwstr>
  </property>
  <property fmtid="{D5CDD505-2E9C-101B-9397-08002B2CF9AE}" pid="8" name="MSIP_Label_c8c00982-80e1-41e6-a03a-12f4ca954faf_ActionId">
    <vt:lpwstr>c0bd587c-b60f-4a7f-941b-db2bfdbd070e</vt:lpwstr>
  </property>
  <property fmtid="{D5CDD505-2E9C-101B-9397-08002B2CF9AE}" pid="9" name="MSIP_Label_c8c00982-80e1-41e6-a03a-12f4ca954faf_Extended_MSFT_Method">
    <vt:lpwstr>Automatic</vt:lpwstr>
  </property>
  <property fmtid="{D5CDD505-2E9C-101B-9397-08002B2CF9AE}" pid="10" name="MSIP_Label_06530cf4-8573-4c29-a912-bbcdac835909_Enabled">
    <vt:lpwstr>True</vt:lpwstr>
  </property>
  <property fmtid="{D5CDD505-2E9C-101B-9397-08002B2CF9AE}" pid="11" name="MSIP_Label_06530cf4-8573-4c29-a912-bbcdac835909_SiteId">
    <vt:lpwstr>ecaa386b-c8df-4ce0-ad01-740cbdb5ba55</vt:lpwstr>
  </property>
  <property fmtid="{D5CDD505-2E9C-101B-9397-08002B2CF9AE}" pid="12" name="MSIP_Label_06530cf4-8573-4c29-a912-bbcdac835909_Owner">
    <vt:lpwstr>SchlenM7@basfad.basf.net</vt:lpwstr>
  </property>
  <property fmtid="{D5CDD505-2E9C-101B-9397-08002B2CF9AE}" pid="13" name="MSIP_Label_06530cf4-8573-4c29-a912-bbcdac835909_SetDate">
    <vt:lpwstr>2021-09-14T06:10:15.9851856Z</vt:lpwstr>
  </property>
  <property fmtid="{D5CDD505-2E9C-101B-9397-08002B2CF9AE}" pid="14" name="MSIP_Label_06530cf4-8573-4c29-a912-bbcdac835909_Name">
    <vt:lpwstr>Unprotected</vt:lpwstr>
  </property>
  <property fmtid="{D5CDD505-2E9C-101B-9397-08002B2CF9AE}" pid="15" name="MSIP_Label_06530cf4-8573-4c29-a912-bbcdac835909_Application">
    <vt:lpwstr>Microsoft Azure Information Protection</vt:lpwstr>
  </property>
  <property fmtid="{D5CDD505-2E9C-101B-9397-08002B2CF9AE}" pid="16" name="MSIP_Label_06530cf4-8573-4c29-a912-bbcdac835909_ActionId">
    <vt:lpwstr>c0bd587c-b60f-4a7f-941b-db2bfdbd070e</vt:lpwstr>
  </property>
  <property fmtid="{D5CDD505-2E9C-101B-9397-08002B2CF9AE}" pid="17" name="MSIP_Label_06530cf4-8573-4c29-a912-bbcdac835909_Parent">
    <vt:lpwstr>c8c00982-80e1-41e6-a03a-12f4ca954faf</vt:lpwstr>
  </property>
  <property fmtid="{D5CDD505-2E9C-101B-9397-08002B2CF9AE}" pid="18" name="MSIP_Label_06530cf4-8573-4c29-a912-bbcdac835909_Extended_MSFT_Method">
    <vt:lpwstr>Automatic</vt:lpwstr>
  </property>
  <property fmtid="{D5CDD505-2E9C-101B-9397-08002B2CF9AE}" pid="19" name="Sensitivity">
    <vt:lpwstr>Internal Unprotected</vt:lpwstr>
  </property>
</Properties>
</file>