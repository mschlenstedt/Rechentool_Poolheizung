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Default Extension="emf" ContentType="image/x-emf"/>
  <Override PartName="/xl/charts/chart2.xml" ContentType="application/vnd.openxmlformats-officedocument.drawingml.chart+xml"/>
  <Override PartName="/xl/charts/chart3.xml" ContentType="application/vnd.openxmlformats-officedocument.drawingml.char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charts/chart1.xml" ContentType="application/vnd.openxmlformats-officedocument.drawingml.chart+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DieseArbeitsmappe" defaultThemeVersion="124226"/>
  <bookViews>
    <workbookView xWindow="-105" yWindow="-105" windowWidth="20625" windowHeight="8190" tabRatio="824"/>
  </bookViews>
  <sheets>
    <sheet name="Start" sheetId="12" r:id="rId1"/>
    <sheet name="Dateneingabe" sheetId="22" r:id="rId2"/>
    <sheet name="Wärmepumpe" sheetId="24" r:id="rId3"/>
    <sheet name="Solarabsorber" sheetId="25" r:id="rId4"/>
    <sheet name="Hilfsdaten" sheetId="23" r:id="rId5"/>
  </sheets>
  <functionGroups/>
  <definedNames>
    <definedName name="_xlnm.Print_Area" localSheetId="1">Dateneingabe!$A$1:$T$38</definedName>
    <definedName name="_xlnm.Print_Area" localSheetId="2">Wärmepumpe!$A$1:$L$120</definedName>
    <definedName name="Poolskizze">INDIRECT("Hilfsdaten!D"&amp;Hilfsdaten!$B$1)</definedName>
  </definedNames>
  <calcPr calcId="124519"/>
</workbook>
</file>

<file path=xl/calcChain.xml><?xml version="1.0" encoding="utf-8"?>
<calcChain xmlns="http://schemas.openxmlformats.org/spreadsheetml/2006/main">
  <c r="B25" i="23"/>
  <c r="D33" i="24"/>
  <c r="D79"/>
  <c r="I33"/>
  <c r="H33"/>
  <c r="G33"/>
  <c r="F33"/>
  <c r="E33"/>
  <c r="C79"/>
  <c r="C33"/>
  <c r="K25" i="23"/>
  <c r="J25"/>
  <c r="K24"/>
  <c r="J24"/>
  <c r="K23"/>
  <c r="J23"/>
  <c r="G25"/>
  <c r="C25"/>
  <c r="G24"/>
  <c r="F24"/>
  <c r="C24"/>
  <c r="B24"/>
  <c r="F25" l="1"/>
  <c r="I25" s="1"/>
  <c r="D24"/>
  <c r="D25"/>
  <c r="E25"/>
  <c r="H24"/>
  <c r="E24"/>
  <c r="I24"/>
  <c r="G23"/>
  <c r="F23"/>
  <c r="C23"/>
  <c r="B23"/>
  <c r="I79" i="24"/>
  <c r="H79"/>
  <c r="G79"/>
  <c r="F79"/>
  <c r="E79"/>
  <c r="B1" i="23"/>
  <c r="G18" i="22"/>
  <c r="G19"/>
  <c r="G20"/>
  <c r="G21"/>
  <c r="G22"/>
  <c r="G16"/>
  <c r="G17"/>
  <c r="M10"/>
  <c r="R6"/>
  <c r="M11"/>
  <c r="E11"/>
  <c r="E10"/>
  <c r="C10" i="12"/>
  <c r="H25" i="23" l="1"/>
  <c r="D34" i="24"/>
  <c r="H34"/>
  <c r="H46" s="1"/>
  <c r="H48" s="1"/>
  <c r="G34"/>
  <c r="E34"/>
  <c r="F34"/>
  <c r="F46" s="1"/>
  <c r="F48" s="1"/>
  <c r="I34"/>
  <c r="C34"/>
  <c r="C46" s="1"/>
  <c r="C48" s="1"/>
  <c r="C93"/>
  <c r="D56"/>
  <c r="D47"/>
  <c r="H47"/>
  <c r="F47"/>
  <c r="F102"/>
  <c r="F93"/>
  <c r="C56"/>
  <c r="I56"/>
  <c r="H56"/>
  <c r="D93"/>
  <c r="H102"/>
  <c r="H93"/>
  <c r="G93"/>
  <c r="G102"/>
  <c r="E102"/>
  <c r="E93"/>
  <c r="I102"/>
  <c r="I93"/>
  <c r="G47"/>
  <c r="C47"/>
  <c r="I47"/>
  <c r="E47"/>
  <c r="F56"/>
  <c r="G56"/>
  <c r="D102"/>
  <c r="C102"/>
  <c r="E56"/>
  <c r="E12" i="22"/>
  <c r="G80" i="24" s="1"/>
  <c r="H23" i="23"/>
  <c r="I23"/>
  <c r="D23"/>
  <c r="E23"/>
  <c r="E55" i="24" l="1"/>
  <c r="E57" s="1"/>
  <c r="I55"/>
  <c r="I57" s="1"/>
  <c r="D55"/>
  <c r="D57" s="1"/>
  <c r="G55"/>
  <c r="G57" s="1"/>
  <c r="C55"/>
  <c r="C57" s="1"/>
  <c r="D46"/>
  <c r="D48" s="1"/>
  <c r="F55"/>
  <c r="F57" s="1"/>
  <c r="E46"/>
  <c r="E48" s="1"/>
  <c r="H55"/>
  <c r="H57" s="1"/>
  <c r="I46"/>
  <c r="I48" s="1"/>
  <c r="G46"/>
  <c r="G48" s="1"/>
  <c r="G101"/>
  <c r="G103" s="1"/>
  <c r="G92"/>
  <c r="G94" s="1"/>
  <c r="G37"/>
  <c r="G39" s="1"/>
  <c r="C37"/>
  <c r="C39" s="1"/>
  <c r="G83"/>
  <c r="G85" s="1"/>
  <c r="F37"/>
  <c r="F39" s="1"/>
  <c r="H37"/>
  <c r="H39" s="1"/>
  <c r="D37"/>
  <c r="D39" s="1"/>
  <c r="I37"/>
  <c r="I39" s="1"/>
  <c r="E37"/>
  <c r="E39" s="1"/>
  <c r="C38"/>
  <c r="F38"/>
  <c r="E84"/>
  <c r="I84"/>
  <c r="F84"/>
  <c r="G38"/>
  <c r="D84"/>
  <c r="H84"/>
  <c r="H38"/>
  <c r="D38"/>
  <c r="G84"/>
  <c r="I38"/>
  <c r="E38"/>
  <c r="C84"/>
  <c r="E80"/>
  <c r="E83" s="1"/>
  <c r="E85" s="1"/>
  <c r="C80"/>
  <c r="C32"/>
  <c r="C50" s="1"/>
  <c r="I80"/>
  <c r="I32"/>
  <c r="D32"/>
  <c r="G32"/>
  <c r="H32"/>
  <c r="H80"/>
  <c r="H83" s="1"/>
  <c r="H85" s="1"/>
  <c r="H87" s="1"/>
  <c r="D80"/>
  <c r="D83" s="1"/>
  <c r="D85" s="1"/>
  <c r="F80"/>
  <c r="E32"/>
  <c r="F32"/>
  <c r="D61" l="1"/>
  <c r="D43"/>
  <c r="D89"/>
  <c r="D52"/>
  <c r="E41"/>
  <c r="G96"/>
  <c r="H59"/>
  <c r="F50"/>
  <c r="F52"/>
  <c r="F61"/>
  <c r="F43"/>
  <c r="G107"/>
  <c r="G89"/>
  <c r="G52"/>
  <c r="G98"/>
  <c r="G61"/>
  <c r="G43"/>
  <c r="E61"/>
  <c r="E43"/>
  <c r="E89"/>
  <c r="E52"/>
  <c r="H50"/>
  <c r="H61"/>
  <c r="H43"/>
  <c r="H89"/>
  <c r="H52"/>
  <c r="I61"/>
  <c r="I43"/>
  <c r="I52"/>
  <c r="E87"/>
  <c r="H41"/>
  <c r="G41"/>
  <c r="I50"/>
  <c r="D50"/>
  <c r="F41"/>
  <c r="D41"/>
  <c r="C41"/>
  <c r="F59"/>
  <c r="D59"/>
  <c r="I41"/>
  <c r="G87"/>
  <c r="G105"/>
  <c r="E50"/>
  <c r="C59"/>
  <c r="E59"/>
  <c r="G49"/>
  <c r="G50"/>
  <c r="I58"/>
  <c r="I60" s="1"/>
  <c r="I59"/>
  <c r="G58"/>
  <c r="G59"/>
  <c r="D87"/>
  <c r="G54"/>
  <c r="C43"/>
  <c r="C61"/>
  <c r="C52"/>
  <c r="G104"/>
  <c r="F101"/>
  <c r="F103" s="1"/>
  <c r="F105" s="1"/>
  <c r="F92"/>
  <c r="F94" s="1"/>
  <c r="F98" s="1"/>
  <c r="C101"/>
  <c r="C103" s="1"/>
  <c r="C105" s="1"/>
  <c r="C92"/>
  <c r="C94" s="1"/>
  <c r="C96" s="1"/>
  <c r="H101"/>
  <c r="H103" s="1"/>
  <c r="H105" s="1"/>
  <c r="H92"/>
  <c r="H94" s="1"/>
  <c r="H98" s="1"/>
  <c r="I92"/>
  <c r="I94" s="1"/>
  <c r="I96" s="1"/>
  <c r="I101"/>
  <c r="I103" s="1"/>
  <c r="I105" s="1"/>
  <c r="D49"/>
  <c r="D51" s="1"/>
  <c r="D101"/>
  <c r="D103" s="1"/>
  <c r="D105" s="1"/>
  <c r="D92"/>
  <c r="D94" s="1"/>
  <c r="D98" s="1"/>
  <c r="E58"/>
  <c r="E60" s="1"/>
  <c r="E92"/>
  <c r="E94" s="1"/>
  <c r="E98" s="1"/>
  <c r="E101"/>
  <c r="E103" s="1"/>
  <c r="E105" s="1"/>
  <c r="I83"/>
  <c r="I85" s="1"/>
  <c r="I87" s="1"/>
  <c r="F83"/>
  <c r="F85" s="1"/>
  <c r="F87" s="1"/>
  <c r="C40"/>
  <c r="C42" s="1"/>
  <c r="C83"/>
  <c r="C85" s="1"/>
  <c r="C87" s="1"/>
  <c r="C49"/>
  <c r="C51" s="1"/>
  <c r="C58"/>
  <c r="C60" s="1"/>
  <c r="E40"/>
  <c r="E49"/>
  <c r="E51" s="1"/>
  <c r="E86"/>
  <c r="E88" s="1"/>
  <c r="I40"/>
  <c r="I42" s="1"/>
  <c r="I49"/>
  <c r="I51" s="1"/>
  <c r="G40"/>
  <c r="G42" s="1"/>
  <c r="F58"/>
  <c r="F60" s="1"/>
  <c r="F40"/>
  <c r="F42" s="1"/>
  <c r="F49"/>
  <c r="F51" s="1"/>
  <c r="D86"/>
  <c r="D88" s="1"/>
  <c r="D40"/>
  <c r="D42" s="1"/>
  <c r="D58"/>
  <c r="D60" s="1"/>
  <c r="H40"/>
  <c r="H42" s="1"/>
  <c r="H49"/>
  <c r="H51" s="1"/>
  <c r="H58"/>
  <c r="H60" s="1"/>
  <c r="H86"/>
  <c r="H88" s="1"/>
  <c r="G86"/>
  <c r="G88" s="1"/>
  <c r="E42" l="1"/>
  <c r="G51"/>
  <c r="H107"/>
  <c r="E107"/>
  <c r="I107"/>
  <c r="F107"/>
  <c r="I89"/>
  <c r="I98"/>
  <c r="F89"/>
  <c r="D107"/>
  <c r="G106"/>
  <c r="H96"/>
  <c r="F96"/>
  <c r="D96"/>
  <c r="E96"/>
  <c r="G60"/>
  <c r="I95"/>
  <c r="I97" s="1"/>
  <c r="C95"/>
  <c r="C97" s="1"/>
  <c r="C98"/>
  <c r="C104"/>
  <c r="C106" s="1"/>
  <c r="C107"/>
  <c r="I104"/>
  <c r="I106" s="1"/>
  <c r="H104"/>
  <c r="H106" s="1"/>
  <c r="F104"/>
  <c r="F106" s="1"/>
  <c r="G100"/>
  <c r="E104"/>
  <c r="E106" s="1"/>
  <c r="D104"/>
  <c r="D106" s="1"/>
  <c r="C86"/>
  <c r="C88" s="1"/>
  <c r="C89"/>
  <c r="I86"/>
  <c r="I88" s="1"/>
  <c r="F86"/>
  <c r="F88" s="1"/>
  <c r="H82"/>
  <c r="F36"/>
  <c r="H54"/>
  <c r="D36"/>
  <c r="D45"/>
  <c r="C54"/>
  <c r="I36"/>
  <c r="G82"/>
  <c r="F54"/>
  <c r="I54"/>
  <c r="E36"/>
  <c r="C36"/>
  <c r="D54"/>
  <c r="H45"/>
  <c r="E54"/>
  <c r="G36"/>
  <c r="G45"/>
  <c r="E82"/>
  <c r="J49"/>
  <c r="J58"/>
  <c r="H36"/>
  <c r="J40"/>
  <c r="H95"/>
  <c r="E95"/>
  <c r="G95"/>
  <c r="H97" l="1"/>
  <c r="H91" s="1"/>
  <c r="G97"/>
  <c r="G91" s="1"/>
  <c r="G117" s="1"/>
  <c r="E97"/>
  <c r="E91" s="1"/>
  <c r="J86"/>
  <c r="I82"/>
  <c r="C82"/>
  <c r="J104"/>
  <c r="H100"/>
  <c r="C100"/>
  <c r="I91"/>
  <c r="F100"/>
  <c r="I100"/>
  <c r="C91"/>
  <c r="D100"/>
  <c r="J106"/>
  <c r="E100"/>
  <c r="C45"/>
  <c r="C71" s="1"/>
  <c r="C70" s="1"/>
  <c r="I45"/>
  <c r="I71" s="1"/>
  <c r="I70" s="1"/>
  <c r="H71"/>
  <c r="J51"/>
  <c r="D71"/>
  <c r="E45"/>
  <c r="E71" s="1"/>
  <c r="F82"/>
  <c r="F45"/>
  <c r="D82"/>
  <c r="G71"/>
  <c r="J42"/>
  <c r="J60"/>
  <c r="F95"/>
  <c r="J88"/>
  <c r="D95"/>
  <c r="D97" s="1"/>
  <c r="F97" l="1"/>
  <c r="F91" s="1"/>
  <c r="F117" s="1"/>
  <c r="G70"/>
  <c r="E70"/>
  <c r="H117"/>
  <c r="H70"/>
  <c r="E117"/>
  <c r="D69"/>
  <c r="D70"/>
  <c r="H69"/>
  <c r="I117"/>
  <c r="C117"/>
  <c r="I68"/>
  <c r="I67"/>
  <c r="D67"/>
  <c r="D66"/>
  <c r="I66"/>
  <c r="C69"/>
  <c r="C66"/>
  <c r="C68"/>
  <c r="C67"/>
  <c r="I69"/>
  <c r="D68"/>
  <c r="E69"/>
  <c r="E68"/>
  <c r="E67"/>
  <c r="E66"/>
  <c r="G67"/>
  <c r="G66"/>
  <c r="G69"/>
  <c r="G68"/>
  <c r="H68"/>
  <c r="H66"/>
  <c r="F71"/>
  <c r="H67"/>
  <c r="J95"/>
  <c r="J71" l="1"/>
  <c r="F70"/>
  <c r="I113"/>
  <c r="I116"/>
  <c r="C115"/>
  <c r="C116"/>
  <c r="C114"/>
  <c r="I112"/>
  <c r="I115"/>
  <c r="C113"/>
  <c r="I114"/>
  <c r="C112"/>
  <c r="J97"/>
  <c r="D91"/>
  <c r="F116" s="1"/>
  <c r="F69"/>
  <c r="J69" s="1"/>
  <c r="F68"/>
  <c r="F66"/>
  <c r="F67"/>
  <c r="H116" l="1"/>
  <c r="F115"/>
  <c r="G116"/>
  <c r="E116"/>
  <c r="E115"/>
  <c r="G113"/>
  <c r="H112"/>
  <c r="E112"/>
  <c r="G114"/>
  <c r="H115"/>
  <c r="E113"/>
  <c r="G115"/>
  <c r="H113"/>
  <c r="D117"/>
  <c r="D116" s="1"/>
  <c r="E114"/>
  <c r="G112"/>
  <c r="H114"/>
  <c r="F112"/>
  <c r="F114"/>
  <c r="F113"/>
  <c r="D113" l="1"/>
  <c r="D115"/>
  <c r="J115" s="1"/>
  <c r="D112"/>
  <c r="D114"/>
  <c r="J117"/>
</calcChain>
</file>

<file path=xl/sharedStrings.xml><?xml version="1.0" encoding="utf-8"?>
<sst xmlns="http://schemas.openxmlformats.org/spreadsheetml/2006/main" count="263" uniqueCount="121">
  <si>
    <t>m³</t>
  </si>
  <si>
    <t>Eingabewert / Messwert</t>
  </si>
  <si>
    <t>WERT</t>
  </si>
  <si>
    <t>Legende:</t>
  </si>
  <si>
    <t>Berechneter Wert</t>
  </si>
  <si>
    <t>Wert</t>
  </si>
  <si>
    <t>Stoffwert / Konstante</t>
  </si>
  <si>
    <t>Verwendung ohne jegliche Gewähr oder Anspruch auf Vollständigkeit und Richtigkeit!</t>
  </si>
  <si>
    <t>Versionshistorie:</t>
  </si>
  <si>
    <t>Datum</t>
  </si>
  <si>
    <t>Bemerkung</t>
  </si>
  <si>
    <t>Erste öffentliche Version</t>
  </si>
  <si>
    <t>Ver</t>
  </si>
  <si>
    <t>Version:</t>
  </si>
  <si>
    <t>1. Dateneingabe</t>
  </si>
  <si>
    <t>Poolgeometrie</t>
  </si>
  <si>
    <t>Länge</t>
  </si>
  <si>
    <t>Breite</t>
  </si>
  <si>
    <t>Form</t>
  </si>
  <si>
    <t>Ovalpool</t>
  </si>
  <si>
    <t>Rundpool</t>
  </si>
  <si>
    <t>Rechteckpool</t>
  </si>
  <si>
    <t>Wasseroberfläche</t>
  </si>
  <si>
    <t>Poolwandung</t>
  </si>
  <si>
    <r>
      <t>A</t>
    </r>
    <r>
      <rPr>
        <vertAlign val="subscript"/>
        <sz val="11"/>
        <color theme="1"/>
        <rFont val="Calibri"/>
        <family val="2"/>
        <scheme val="minor"/>
      </rPr>
      <t>O</t>
    </r>
  </si>
  <si>
    <r>
      <t>A</t>
    </r>
    <r>
      <rPr>
        <vertAlign val="subscript"/>
        <sz val="11"/>
        <color theme="1"/>
        <rFont val="Calibri"/>
        <family val="2"/>
        <scheme val="minor"/>
      </rPr>
      <t>W</t>
    </r>
  </si>
  <si>
    <t>V</t>
  </si>
  <si>
    <t>m</t>
  </si>
  <si>
    <t>Wassertiefe</t>
  </si>
  <si>
    <t>m²</t>
  </si>
  <si>
    <t>ß</t>
  </si>
  <si>
    <t>à</t>
  </si>
  <si>
    <t>á</t>
  </si>
  <si>
    <t>â</t>
  </si>
  <si>
    <t>Monat</t>
  </si>
  <si>
    <t>Mai</t>
  </si>
  <si>
    <t>Juni</t>
  </si>
  <si>
    <t>Juli</t>
  </si>
  <si>
    <t>August</t>
  </si>
  <si>
    <t>September</t>
  </si>
  <si>
    <t>Klimadaten</t>
  </si>
  <si>
    <t>April</t>
  </si>
  <si>
    <t>Oktober</t>
  </si>
  <si>
    <t>Min. Temp</t>
  </si>
  <si>
    <t>Max. Temp.</t>
  </si>
  <si>
    <t>Tageslänge (h)</t>
  </si>
  <si>
    <r>
      <rPr>
        <b/>
        <sz val="11"/>
        <color theme="1"/>
        <rFont val="Symbol"/>
        <family val="1"/>
        <charset val="2"/>
      </rPr>
      <t>Æ</t>
    </r>
    <r>
      <rPr>
        <b/>
        <sz val="13.2"/>
        <color theme="1"/>
        <rFont val="Calibri"/>
        <family val="2"/>
      </rPr>
      <t xml:space="preserve"> </t>
    </r>
    <r>
      <rPr>
        <b/>
        <sz val="11"/>
        <color theme="1"/>
        <rFont val="Calibri"/>
        <family val="2"/>
        <scheme val="minor"/>
      </rPr>
      <t>Temp</t>
    </r>
  </si>
  <si>
    <r>
      <rPr>
        <b/>
        <sz val="11"/>
        <color theme="1"/>
        <rFont val="Symbol"/>
        <family val="1"/>
        <charset val="2"/>
      </rPr>
      <t>Æ</t>
    </r>
    <r>
      <rPr>
        <b/>
        <sz val="13.2"/>
        <color theme="1"/>
        <rFont val="Calibri"/>
        <family val="2"/>
      </rPr>
      <t xml:space="preserve"> </t>
    </r>
    <r>
      <rPr>
        <b/>
        <sz val="11"/>
        <color theme="1"/>
        <rFont val="Calibri"/>
        <family val="2"/>
        <scheme val="minor"/>
      </rPr>
      <t xml:space="preserve">Temp </t>
    </r>
    <r>
      <rPr>
        <b/>
        <sz val="8"/>
        <color theme="1"/>
        <rFont val="Calibri"/>
        <family val="2"/>
        <scheme val="minor"/>
      </rPr>
      <t>(berechnet)</t>
    </r>
  </si>
  <si>
    <t>Poolskizze</t>
  </si>
  <si>
    <t>€ / kWh</t>
  </si>
  <si>
    <t>Übersicht:</t>
  </si>
  <si>
    <t>&lt;- Zurück</t>
  </si>
  <si>
    <t>Wasservolumen</t>
  </si>
  <si>
    <t>Wärmepumpe 1</t>
  </si>
  <si>
    <t>Wärmepumpe 2</t>
  </si>
  <si>
    <t>Wärmepumpe 3</t>
  </si>
  <si>
    <t>Wärmepumpendaten</t>
  </si>
  <si>
    <t>Temp. Verlust (°C)</t>
  </si>
  <si>
    <t>Energieverlust (kWh)</t>
  </si>
  <si>
    <t>kW</t>
  </si>
  <si>
    <t>Wärmeleistung</t>
  </si>
  <si>
    <t>COP</t>
  </si>
  <si>
    <t>COP*</t>
  </si>
  <si>
    <t>Leistungsaufnahme*</t>
  </si>
  <si>
    <t>Lufttemperatur</t>
  </si>
  <si>
    <t>kJ/kg*K</t>
  </si>
  <si>
    <t>°C</t>
  </si>
  <si>
    <t>Wärmepmpe 1</t>
  </si>
  <si>
    <t>Wärmepmpe 2</t>
  </si>
  <si>
    <t>Wärmepmpe 3</t>
  </si>
  <si>
    <t>Steigung</t>
  </si>
  <si>
    <t>Abschnitt</t>
  </si>
  <si>
    <t>W-Leistung</t>
  </si>
  <si>
    <t>Wärmeleistung (kW)</t>
  </si>
  <si>
    <t>Jahr</t>
  </si>
  <si>
    <t>Kosten (€/Mon.)</t>
  </si>
  <si>
    <t>Betriebsdaten Min</t>
  </si>
  <si>
    <t>Betriebsdaten Max</t>
  </si>
  <si>
    <t>*: Entweder COP-Wert (wenn verfügbar) ODER Leistungsaufnahme (Strom) eintragen. Wird beides eingetragen, wird mit der COP-Eingabe gerechnet.</t>
  </si>
  <si>
    <t>Laufzeit (h/d)*</t>
  </si>
  <si>
    <t>*: Ziel-Laufzeit 4h pro Tag</t>
  </si>
  <si>
    <t>Link:</t>
  </si>
  <si>
    <t>https://www.worldweatheronline.com/</t>
  </si>
  <si>
    <t>https://www.laenderdaten.info/Europa/Deutschland/sonnenuntergang.php</t>
  </si>
  <si>
    <t>2. Berechnung Wärmepumpen</t>
  </si>
  <si>
    <t>Wärmeverluste / Energiekosten</t>
  </si>
  <si>
    <t>Strompreis</t>
  </si>
  <si>
    <t>U-Wert Poolabdeckung</t>
  </si>
  <si>
    <t>U-Wert Poolwandung</t>
  </si>
  <si>
    <t>Soll Wassertemperatur</t>
  </si>
  <si>
    <t>XPS Dämmung 20 mm:
XPS Dämmung 30 mm:
XPS Dämmung 40 mm:
XPS Dämmung 50 mm:
XPS Dämmung 100 mm:
Beton 15 cm:
Beton 20 cm:
Beton 25 cm:</t>
  </si>
  <si>
    <t>Folie 1 mm:
Luftpolsterfolie:
Einfachglas 5 mm:
Isolierglas 14 mm:
Ohne Abdeckung, windstill:
Ohne Abdeckung, mittl. Wind:</t>
  </si>
  <si>
    <t xml:space="preserve">1,493 W/m²*K
1,087 W/m²*K
0,855 W/m²*K
0,704 W/m²*K
0,375 W/m²*K
4,082 W/m²*K
3,704 W/m²*K
3,390 W/m²*K
</t>
  </si>
  <si>
    <t xml:space="preserve">5,729 W/m²*K
3,000 W/m²*K
5,663 W/m²*K
2,804 W/m²*K
7,500 W/m²*K
25,000 W/m²*K
</t>
  </si>
  <si>
    <t>Wärmekapazität Wasser</t>
  </si>
  <si>
    <r>
      <rPr>
        <b/>
        <sz val="8"/>
        <color theme="1"/>
        <rFont val="Calibri"/>
        <family val="2"/>
        <scheme val="minor"/>
      </rPr>
      <t xml:space="preserve">U-Werte
</t>
    </r>
    <r>
      <rPr>
        <sz val="8"/>
        <color theme="1"/>
        <rFont val="Calibri"/>
        <family val="2"/>
        <scheme val="minor"/>
      </rPr>
      <t xml:space="preserve">Der U-Wert gibt die Wärmemenge an, die pro Zeiteinheit durch 1 m² eines Bauteils bei einem Temperaturunterschied von 1 K hindurchgeht. Je tiefer der U-Wert, desto kleiner sind die Wärmeverluste nach aussen und dementsprechend geringer der Energieverlust.
Zur Vereinfachung wird davon ausgegangen, dass die Bodentemperatur keinen Tagesgang aufweist (gilt ab 50 cm Tiefe) und der Tages-Min-Temperatur entspricht.
Zur Vereinfachung verwenden wir bei einem Sandwich-Aufbau der Poolwand oder Abdeckung (z. B. Folie+Stahlwand+XPS Dämmung+Beton) </t>
    </r>
    <r>
      <rPr>
        <b/>
        <sz val="8"/>
        <color theme="1"/>
        <rFont val="Calibri"/>
        <family val="2"/>
        <scheme val="minor"/>
      </rPr>
      <t>den jeweils niedrigsten vorhandenen U-Wert im Sandwich</t>
    </r>
    <r>
      <rPr>
        <sz val="8"/>
        <color theme="1"/>
        <rFont val="Calibri"/>
        <family val="2"/>
        <scheme val="minor"/>
      </rPr>
      <t xml:space="preserve">.
Verschiedene U-Werte:
</t>
    </r>
  </si>
  <si>
    <t>https://www.ubakus.de/u-wert-rechner/?</t>
  </si>
  <si>
    <t>W/m²*K</t>
  </si>
  <si>
    <t>Variante B: Berechnung über (bekannten/abgeschätzen) Temperaturverlust pro Tag</t>
  </si>
  <si>
    <t>Variante A: Berechnung über den Wärmeverlust anhand von Klimadaten</t>
  </si>
  <si>
    <t>U-Wert Poolboden</t>
  </si>
  <si>
    <t>Betriebsdaten bei Luft</t>
  </si>
  <si>
    <t>Bemerkung:</t>
  </si>
  <si>
    <r>
      <rPr>
        <b/>
        <sz val="8"/>
        <color theme="1"/>
        <rFont val="Calibri"/>
        <family val="2"/>
        <scheme val="minor"/>
      </rPr>
      <t xml:space="preserve">Monate:
</t>
    </r>
    <r>
      <rPr>
        <sz val="8"/>
        <color theme="1"/>
        <rFont val="Calibri"/>
        <family val="2"/>
        <scheme val="minor"/>
      </rPr>
      <t xml:space="preserve">- Monate, die nicht betrachtet werden sollen, einfach leer lassen. Sie werden dann später bei der Berechnung nicht berücksichtigt.
</t>
    </r>
    <r>
      <rPr>
        <b/>
        <sz val="8"/>
        <color theme="1"/>
        <rFont val="Calibri"/>
        <family val="2"/>
        <scheme val="minor"/>
      </rPr>
      <t>Klimadaten:</t>
    </r>
    <r>
      <rPr>
        <sz val="8"/>
        <color theme="1"/>
        <rFont val="Calibri"/>
        <family val="2"/>
        <scheme val="minor"/>
      </rPr>
      <t xml:space="preserve">
- Quelle: https://www.worldweatheronline.com/
- Lupe -&gt; Nach Stadt suchen -&gt; Averages -&gt; Diagramm auf 1y stellen  -&gt; Min Temp, Max Temp, AVG Temp ablesen und eintragen
</t>
    </r>
    <r>
      <rPr>
        <b/>
        <sz val="8"/>
        <color theme="1"/>
        <rFont val="Calibri"/>
        <family val="2"/>
        <scheme val="minor"/>
      </rPr>
      <t>Tageslänge:</t>
    </r>
    <r>
      <rPr>
        <sz val="8"/>
        <color theme="1"/>
        <rFont val="Calibri"/>
        <family val="2"/>
        <scheme val="minor"/>
      </rPr>
      <t xml:space="preserve">
- Quelle: https://www.laenderdaten.info/Europa/Deutschland/sonnenuntergang.php
- Daten für Berlin sind voreingetragen
</t>
    </r>
    <r>
      <rPr>
        <b/>
        <sz val="8"/>
        <color theme="1"/>
        <rFont val="Symbol"/>
        <family val="1"/>
        <charset val="2"/>
      </rPr>
      <t>Æ</t>
    </r>
    <r>
      <rPr>
        <b/>
        <sz val="8"/>
        <color theme="1"/>
        <rFont val="Calibri"/>
        <family val="2"/>
        <scheme val="minor"/>
      </rPr>
      <t xml:space="preserve"> Temp (berechnet): </t>
    </r>
    <r>
      <rPr>
        <sz val="8"/>
        <color theme="1"/>
        <rFont val="Calibri"/>
        <family val="2"/>
        <scheme val="minor"/>
      </rPr>
      <t xml:space="preserve">
Anhand der Tageslänge berechnet. Wert wird für weitere Berechnungen verwendet. Er sollte nicht mehr als 0,5 °C von der gemessenen </t>
    </r>
    <r>
      <rPr>
        <sz val="8"/>
        <color theme="1"/>
        <rFont val="Symbol"/>
        <family val="1"/>
        <charset val="2"/>
      </rPr>
      <t>Æ</t>
    </r>
    <r>
      <rPr>
        <sz val="8"/>
        <color theme="1"/>
        <rFont val="Calibri"/>
        <family val="2"/>
        <scheme val="minor"/>
      </rPr>
      <t xml:space="preserve"> Temp abweichen. Ggf. die Tageslänge anpassen!</t>
    </r>
  </si>
  <si>
    <t>3. Berechnung Solarabsorber</t>
  </si>
  <si>
    <t>Zur Zeit noch in Bearbeitung!</t>
  </si>
  <si>
    <t>Best Of aus Wärmepumpe 1 - 3 (bei Vergleich einer Inverter-WP in 3 Betriebszuständen)</t>
  </si>
  <si>
    <t>Filterlaufzeiten</t>
  </si>
  <si>
    <t>Ziel (h)</t>
  </si>
  <si>
    <t>Max (h)</t>
  </si>
  <si>
    <t>Stromverbrauch Filterpumpe</t>
  </si>
  <si>
    <t>Kosten (€/Mon.)**</t>
  </si>
  <si>
    <t>**: Liegt die Laufzeit über der Soll-Laufzeit, so wird für die zusätzliche Filterlaufzeit der Strombedarf der Filterpumpe addiert</t>
  </si>
  <si>
    <t>Strom Pumpe (kWh/Mon.)**</t>
  </si>
  <si>
    <t>Strom WP (kWh/Mon.)</t>
  </si>
  <si>
    <t>Unter Ziel-Laufzeit wird die Laufzeit der Filterpumpe angegeben, die für eine Filterung und Umwälzung des Pool-Inhalts normalerweise notwendig ist. Liegt die Aufheizzeit für die Wärmepumpe oberhalb dieser Laufzeit (d. h. wird zusätzliche Filterpumpenlaufzeit notwendig, um den Pool aufzuheizen, so wird der zusätzliche Stromverbrauch zu den Stromkosten der Wärmepumpe hinzuaddiert. Liegt die Aufheizzeit innterhalb der Ziel-Laufzeit der Filterpumpe, werden keine Kosten für die Filterpumpe zusätzlich addiert (da diese Kosten ja sowieso zur Filterung anfallen).
Die maximale Laufzeit ist als "Schmerzgrenze" zu verstehen. Alle Laufzeiten oberhalb dieser maximalen Laufzeit werden für die "Best of" Berechnung nicht berücksichtigt.</t>
  </si>
  <si>
    <t>Silverline Wärmepumpe mit Full Inverter 15kW bei voller Leistung
Preis: 1890 €</t>
  </si>
  <si>
    <t>Silverline Wärmepumpe mit Full Inverter 15kW bei minimaler Leistung
Preis: 1890 €</t>
  </si>
  <si>
    <t>Silverline Wärmepumpe mit Full Inverter 15kW bei mittlerer Bereich
Preis: 1890 €</t>
  </si>
  <si>
    <t>Diese Berechnung dient zur Ermittlung der möglichst praxisnahmen Betriebskostenberechnung von Inverter-Wärmepumpen. Dazu werden oben 3 Betrisbpunkte der WP eingetragen (Min, Mittel, Max) und die jeweils kostengünstigsten Betriebspunkte der einzelnen Monate hier zusammengefasst. Dieses entspricht (ohne das genaue Regelkonzept des Herstellers zu kennen) vermutlich annähernd den tatsächlichen Betriebskosten. Hierbei wird die maximal zugelassene Filterpumpenlaufzeit aus der Dateneingabe berücksichtigt.</t>
  </si>
  <si>
    <t>BestOf Variante ergänzt zum Vergleich Inverter-WP</t>
  </si>
</sst>
</file>

<file path=xl/styles.xml><?xml version="1.0" encoding="utf-8"?>
<styleSheet xmlns="http://schemas.openxmlformats.org/spreadsheetml/2006/main">
  <numFmts count="2">
    <numFmt numFmtId="164" formatCode="0.0"/>
    <numFmt numFmtId="165" formatCode="0.000"/>
  </numFmts>
  <fonts count="22">
    <font>
      <sz val="11"/>
      <color theme="1"/>
      <name val="Calibri"/>
      <family val="2"/>
      <scheme val="minor"/>
    </font>
    <font>
      <b/>
      <sz val="11"/>
      <color theme="1"/>
      <name val="Calibri"/>
      <family val="2"/>
      <scheme val="minor"/>
    </font>
    <font>
      <u/>
      <sz val="14.3"/>
      <color theme="10"/>
      <name val="Calibri"/>
      <family val="2"/>
    </font>
    <font>
      <b/>
      <u/>
      <sz val="11"/>
      <color theme="1"/>
      <name val="Calibri"/>
      <family val="2"/>
      <scheme val="minor"/>
    </font>
    <font>
      <b/>
      <sz val="11"/>
      <color rgb="FFFF0000"/>
      <name val="Calibri"/>
      <family val="2"/>
      <scheme val="minor"/>
    </font>
    <font>
      <vertAlign val="subscript"/>
      <sz val="11"/>
      <color theme="1"/>
      <name val="Calibri"/>
      <family val="2"/>
      <scheme val="minor"/>
    </font>
    <font>
      <sz val="8"/>
      <color theme="1"/>
      <name val="Calibri"/>
      <family val="2"/>
      <scheme val="minor"/>
    </font>
    <font>
      <sz val="8"/>
      <color theme="1"/>
      <name val="Wingdings"/>
      <charset val="2"/>
    </font>
    <font>
      <b/>
      <sz val="12"/>
      <color theme="1"/>
      <name val="Calibri"/>
      <family val="2"/>
      <scheme val="minor"/>
    </font>
    <font>
      <b/>
      <sz val="11"/>
      <color theme="1"/>
      <name val="Symbol"/>
      <family val="1"/>
      <charset val="2"/>
    </font>
    <font>
      <b/>
      <sz val="13.2"/>
      <color theme="1"/>
      <name val="Calibri"/>
      <family val="2"/>
    </font>
    <font>
      <b/>
      <sz val="8"/>
      <color theme="1"/>
      <name val="Calibri"/>
      <family val="2"/>
      <scheme val="minor"/>
    </font>
    <font>
      <sz val="8"/>
      <color theme="1"/>
      <name val="Symbol"/>
      <family val="1"/>
      <charset val="2"/>
    </font>
    <font>
      <b/>
      <sz val="8"/>
      <color theme="1"/>
      <name val="Symbol"/>
      <family val="1"/>
      <charset val="2"/>
    </font>
    <font>
      <u/>
      <sz val="12"/>
      <color theme="10"/>
      <name val="Calibri"/>
      <family val="2"/>
    </font>
    <font>
      <u/>
      <sz val="11"/>
      <color theme="10"/>
      <name val="Calibri"/>
      <family val="2"/>
    </font>
    <font>
      <b/>
      <sz val="11"/>
      <color theme="0"/>
      <name val="Calibri"/>
      <family val="2"/>
      <scheme val="minor"/>
    </font>
    <font>
      <sz val="11"/>
      <color theme="0"/>
      <name val="Calibri"/>
      <family val="2"/>
      <scheme val="minor"/>
    </font>
    <font>
      <u/>
      <sz val="12"/>
      <color theme="0"/>
      <name val="Calibri"/>
      <family val="2"/>
    </font>
    <font>
      <sz val="12"/>
      <color theme="1"/>
      <name val="Calibri"/>
      <family val="2"/>
      <scheme val="minor"/>
    </font>
    <font>
      <sz val="11"/>
      <name val="Calibri"/>
      <family val="2"/>
      <scheme val="minor"/>
    </font>
    <font>
      <b/>
      <u/>
      <sz val="14"/>
      <color theme="1"/>
      <name val="Calibri"/>
      <family val="2"/>
      <scheme val="minor"/>
    </font>
  </fonts>
  <fills count="9">
    <fill>
      <patternFill patternType="none"/>
    </fill>
    <fill>
      <patternFill patternType="gray125"/>
    </fill>
    <fill>
      <patternFill patternType="solid">
        <fgColor rgb="FFFFFFCC"/>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3" tint="0.79998168889431442"/>
        <bgColor indexed="64"/>
      </patternFill>
    </fill>
    <fill>
      <patternFill patternType="solid">
        <fgColor theme="0"/>
        <bgColor indexed="64"/>
      </patternFill>
    </fill>
    <fill>
      <patternFill patternType="solid">
        <fgColor theme="1"/>
        <bgColor indexed="64"/>
      </patternFill>
    </fill>
    <fill>
      <patternFill patternType="solid">
        <fgColor theme="0" tint="-0.499984740745262"/>
        <bgColor indexed="64"/>
      </patternFill>
    </fill>
  </fills>
  <borders count="4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s>
  <cellStyleXfs count="2">
    <xf numFmtId="0" fontId="0" fillId="0" borderId="0"/>
    <xf numFmtId="0" fontId="2" fillId="0" borderId="0" applyNumberFormat="0" applyFill="0" applyBorder="0" applyAlignment="0" applyProtection="0">
      <alignment vertical="top"/>
      <protection locked="0"/>
    </xf>
  </cellStyleXfs>
  <cellXfs count="205">
    <xf numFmtId="0" fontId="0" fillId="0" borderId="0" xfId="0"/>
    <xf numFmtId="0" fontId="0" fillId="0" borderId="0" xfId="0" applyAlignment="1">
      <alignment vertical="center"/>
    </xf>
    <xf numFmtId="0" fontId="0" fillId="0" borderId="0" xfId="0" applyBorder="1" applyAlignment="1">
      <alignment vertical="center"/>
    </xf>
    <xf numFmtId="0" fontId="0" fillId="0" borderId="0" xfId="0" applyAlignment="1">
      <alignment vertical="center" wrapText="1"/>
    </xf>
    <xf numFmtId="0" fontId="0" fillId="4" borderId="0" xfId="0" applyFill="1" applyBorder="1" applyAlignment="1">
      <alignment horizontal="center" vertical="center"/>
    </xf>
    <xf numFmtId="0" fontId="0" fillId="3" borderId="0" xfId="0" applyFill="1" applyBorder="1" applyAlignment="1">
      <alignment horizontal="center" vertical="center"/>
    </xf>
    <xf numFmtId="0" fontId="1" fillId="0" borderId="0" xfId="0" applyFont="1" applyAlignment="1">
      <alignment vertical="center"/>
    </xf>
    <xf numFmtId="2" fontId="1" fillId="2" borderId="1" xfId="0" applyNumberFormat="1" applyFont="1" applyFill="1" applyBorder="1" applyAlignment="1">
      <alignment horizontal="center" vertical="center"/>
    </xf>
    <xf numFmtId="0" fontId="3" fillId="0" borderId="0" xfId="0" applyFont="1" applyAlignment="1">
      <alignment vertical="center"/>
    </xf>
    <xf numFmtId="0" fontId="1" fillId="0" borderId="14" xfId="0" applyFont="1" applyBorder="1" applyAlignment="1">
      <alignment horizontal="right" vertical="center"/>
    </xf>
    <xf numFmtId="0" fontId="1" fillId="0" borderId="14" xfId="0" applyFont="1" applyBorder="1" applyAlignment="1">
      <alignment horizontal="center" vertical="center"/>
    </xf>
    <xf numFmtId="0" fontId="1" fillId="0" borderId="14" xfId="0" applyFont="1" applyBorder="1" applyAlignment="1">
      <alignment vertical="center"/>
    </xf>
    <xf numFmtId="14" fontId="0" fillId="0" borderId="0" xfId="0" applyNumberFormat="1" applyAlignment="1">
      <alignment vertical="center"/>
    </xf>
    <xf numFmtId="0" fontId="0" fillId="0" borderId="0" xfId="0" applyAlignment="1">
      <alignment horizontal="center" vertical="center"/>
    </xf>
    <xf numFmtId="0" fontId="4" fillId="0" borderId="16" xfId="0" applyFont="1" applyBorder="1" applyAlignment="1">
      <alignment vertical="center" wrapText="1"/>
    </xf>
    <xf numFmtId="0" fontId="4" fillId="0" borderId="0" xfId="0" applyFont="1" applyBorder="1" applyAlignment="1">
      <alignment vertical="center" wrapText="1"/>
    </xf>
    <xf numFmtId="0" fontId="1" fillId="0" borderId="0" xfId="0" applyFont="1" applyAlignment="1">
      <alignment horizontal="center" vertical="center"/>
    </xf>
    <xf numFmtId="2" fontId="0" fillId="0" borderId="0" xfId="0" applyNumberFormat="1" applyBorder="1" applyAlignment="1">
      <alignment vertical="center"/>
    </xf>
    <xf numFmtId="0" fontId="1" fillId="0" borderId="18" xfId="0" applyFont="1" applyBorder="1" applyAlignment="1">
      <alignment vertical="center"/>
    </xf>
    <xf numFmtId="0" fontId="1" fillId="0" borderId="27" xfId="0" applyFont="1" applyBorder="1" applyAlignment="1">
      <alignment vertical="center"/>
    </xf>
    <xf numFmtId="0" fontId="1" fillId="0" borderId="28" xfId="0" applyFont="1" applyBorder="1" applyAlignment="1">
      <alignment vertical="center"/>
    </xf>
    <xf numFmtId="0" fontId="1" fillId="0" borderId="29" xfId="0" applyFont="1" applyBorder="1" applyAlignment="1">
      <alignment vertical="center"/>
    </xf>
    <xf numFmtId="2" fontId="1" fillId="2" borderId="20" xfId="0" applyNumberFormat="1" applyFont="1" applyFill="1" applyBorder="1" applyAlignment="1">
      <alignment horizontal="center" vertical="center"/>
    </xf>
    <xf numFmtId="2" fontId="1" fillId="2" borderId="25" xfId="0" applyNumberFormat="1" applyFont="1" applyFill="1" applyBorder="1" applyAlignment="1">
      <alignment horizontal="center" vertical="center"/>
    </xf>
    <xf numFmtId="2" fontId="0" fillId="3" borderId="0" xfId="0" applyNumberFormat="1" applyFill="1" applyBorder="1" applyAlignment="1">
      <alignment horizontal="center" vertical="center"/>
    </xf>
    <xf numFmtId="0" fontId="1" fillId="0" borderId="30" xfId="0" applyFont="1" applyBorder="1" applyAlignment="1">
      <alignment horizontal="center" vertical="center" wrapText="1"/>
    </xf>
    <xf numFmtId="0" fontId="1" fillId="0" borderId="31" xfId="0" applyFont="1" applyBorder="1" applyAlignment="1">
      <alignment horizontal="center" vertical="center" wrapText="1"/>
    </xf>
    <xf numFmtId="0" fontId="1" fillId="0" borderId="32" xfId="0" applyFont="1" applyBorder="1" applyAlignment="1">
      <alignment horizontal="center" vertical="center" wrapText="1"/>
    </xf>
    <xf numFmtId="164" fontId="0" fillId="3" borderId="21" xfId="0" applyNumberFormat="1" applyFill="1" applyBorder="1" applyAlignment="1">
      <alignment horizontal="center" vertical="center"/>
    </xf>
    <xf numFmtId="164" fontId="0" fillId="3" borderId="23" xfId="0" applyNumberFormat="1" applyFill="1" applyBorder="1" applyAlignment="1">
      <alignment horizontal="center" vertical="center"/>
    </xf>
    <xf numFmtId="164" fontId="0" fillId="3" borderId="26" xfId="0" applyNumberFormat="1" applyFill="1" applyBorder="1" applyAlignment="1">
      <alignment horizontal="center" vertical="center"/>
    </xf>
    <xf numFmtId="0" fontId="0" fillId="6" borderId="0" xfId="0" applyFill="1" applyBorder="1" applyAlignment="1">
      <alignment horizontal="center" vertical="center"/>
    </xf>
    <xf numFmtId="0" fontId="0" fillId="0" borderId="2" xfId="0" applyBorder="1" applyAlignment="1">
      <alignment vertical="center"/>
    </xf>
    <xf numFmtId="0" fontId="0" fillId="0" borderId="3" xfId="0" applyBorder="1" applyAlignment="1">
      <alignment vertical="center"/>
    </xf>
    <xf numFmtId="0" fontId="0" fillId="0" borderId="3" xfId="0" applyBorder="1" applyAlignment="1">
      <alignment horizontal="center" vertical="center"/>
    </xf>
    <xf numFmtId="2" fontId="0" fillId="3" borderId="3" xfId="0" applyNumberFormat="1" applyFill="1" applyBorder="1" applyAlignment="1">
      <alignment horizontal="center" vertical="center"/>
    </xf>
    <xf numFmtId="0" fontId="0" fillId="0" borderId="4" xfId="0" applyBorder="1" applyAlignment="1">
      <alignment vertical="center"/>
    </xf>
    <xf numFmtId="0" fontId="0" fillId="0" borderId="5" xfId="0" applyBorder="1" applyAlignment="1">
      <alignment vertical="center"/>
    </xf>
    <xf numFmtId="0" fontId="0" fillId="0" borderId="0" xfId="0"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8" xfId="0" applyBorder="1" applyAlignment="1">
      <alignment vertical="center"/>
    </xf>
    <xf numFmtId="0" fontId="0" fillId="0" borderId="8" xfId="0" applyBorder="1" applyAlignment="1">
      <alignment horizontal="center" vertical="center"/>
    </xf>
    <xf numFmtId="2" fontId="0" fillId="3" borderId="8" xfId="0" applyNumberFormat="1" applyFill="1" applyBorder="1" applyAlignment="1">
      <alignment horizontal="center" vertical="center"/>
    </xf>
    <xf numFmtId="0" fontId="0" fillId="0" borderId="9" xfId="0" applyBorder="1" applyAlignment="1">
      <alignment vertical="center"/>
    </xf>
    <xf numFmtId="0" fontId="8" fillId="0" borderId="2" xfId="0" applyFont="1" applyBorder="1" applyAlignment="1">
      <alignment vertical="center"/>
    </xf>
    <xf numFmtId="0" fontId="8" fillId="0" borderId="33" xfId="0" applyFont="1" applyBorder="1" applyAlignment="1">
      <alignment vertical="center"/>
    </xf>
    <xf numFmtId="0" fontId="0" fillId="0" borderId="34" xfId="0" applyBorder="1" applyAlignment="1">
      <alignment vertical="center"/>
    </xf>
    <xf numFmtId="2" fontId="0" fillId="0" borderId="35" xfId="0" applyNumberFormat="1" applyBorder="1" applyAlignment="1">
      <alignment vertical="center"/>
    </xf>
    <xf numFmtId="165" fontId="1" fillId="2" borderId="1" xfId="0" applyNumberFormat="1" applyFont="1" applyFill="1" applyBorder="1" applyAlignment="1">
      <alignment horizontal="center" vertical="center"/>
    </xf>
    <xf numFmtId="1" fontId="1" fillId="2" borderId="22" xfId="0" applyNumberFormat="1" applyFont="1" applyFill="1" applyBorder="1" applyAlignment="1">
      <alignment horizontal="center" vertical="center"/>
    </xf>
    <xf numFmtId="1" fontId="1" fillId="2" borderId="1" xfId="0" applyNumberFormat="1" applyFont="1" applyFill="1" applyBorder="1" applyAlignment="1">
      <alignment horizontal="center" vertical="center"/>
    </xf>
    <xf numFmtId="0" fontId="1" fillId="0" borderId="0" xfId="0" applyFont="1" applyBorder="1" applyAlignment="1">
      <alignment horizontal="center" vertical="center" wrapText="1"/>
    </xf>
    <xf numFmtId="164" fontId="0" fillId="0" borderId="0" xfId="0" applyNumberFormat="1" applyFill="1" applyBorder="1" applyAlignment="1">
      <alignment horizontal="center" vertical="center"/>
    </xf>
    <xf numFmtId="0" fontId="0" fillId="0" borderId="0" xfId="0" applyFill="1" applyBorder="1" applyAlignment="1">
      <alignment vertical="center"/>
    </xf>
    <xf numFmtId="2" fontId="1" fillId="2" borderId="1" xfId="0" applyNumberFormat="1" applyFont="1" applyFill="1" applyBorder="1" applyAlignment="1">
      <alignment horizontal="center" vertical="center"/>
    </xf>
    <xf numFmtId="0" fontId="0" fillId="6" borderId="5" xfId="0" applyFill="1" applyBorder="1" applyAlignment="1">
      <alignment vertical="center"/>
    </xf>
    <xf numFmtId="0" fontId="0" fillId="6" borderId="0" xfId="0" applyFill="1" applyBorder="1" applyAlignment="1">
      <alignment vertical="center"/>
    </xf>
    <xf numFmtId="0" fontId="0" fillId="6" borderId="6" xfId="0" applyFill="1" applyBorder="1" applyAlignment="1">
      <alignment vertical="center"/>
    </xf>
    <xf numFmtId="0" fontId="7" fillId="6" borderId="11" xfId="0" applyFont="1" applyFill="1" applyBorder="1" applyAlignment="1">
      <alignment horizontal="center" vertical="center"/>
    </xf>
    <xf numFmtId="0" fontId="7" fillId="6" borderId="14" xfId="0" applyFont="1" applyFill="1" applyBorder="1" applyAlignment="1">
      <alignment horizontal="center" vertical="center"/>
    </xf>
    <xf numFmtId="0" fontId="7" fillId="6" borderId="16" xfId="0" applyFont="1" applyFill="1" applyBorder="1" applyAlignment="1">
      <alignment vertical="center"/>
    </xf>
    <xf numFmtId="2" fontId="6" fillId="6" borderId="0" xfId="0" applyNumberFormat="1" applyFont="1" applyFill="1" applyBorder="1" applyAlignment="1">
      <alignment horizontal="center" vertical="center"/>
    </xf>
    <xf numFmtId="0" fontId="7" fillId="6" borderId="17" xfId="0" applyFont="1" applyFill="1" applyBorder="1" applyAlignment="1">
      <alignment horizontal="right" vertical="center"/>
    </xf>
    <xf numFmtId="0" fontId="7" fillId="6" borderId="0" xfId="0" applyFont="1" applyFill="1" applyBorder="1" applyAlignment="1">
      <alignment horizontal="right" vertical="center"/>
    </xf>
    <xf numFmtId="0" fontId="0" fillId="6" borderId="7" xfId="0" applyFill="1" applyBorder="1" applyAlignment="1">
      <alignment vertical="center"/>
    </xf>
    <xf numFmtId="0" fontId="0" fillId="6" borderId="8" xfId="0" applyFill="1" applyBorder="1" applyAlignment="1">
      <alignment vertical="center"/>
    </xf>
    <xf numFmtId="0" fontId="0" fillId="6" borderId="9" xfId="0" applyFill="1" applyBorder="1" applyAlignment="1">
      <alignment vertical="center"/>
    </xf>
    <xf numFmtId="0" fontId="14" fillId="0" borderId="0" xfId="1" applyFont="1" applyAlignment="1" applyProtection="1">
      <alignment horizontal="center" vertical="center"/>
    </xf>
    <xf numFmtId="0" fontId="8" fillId="0" borderId="0" xfId="0" applyFont="1" applyAlignment="1">
      <alignment vertical="center"/>
    </xf>
    <xf numFmtId="2" fontId="1" fillId="0" borderId="0" xfId="0" applyNumberFormat="1" applyFont="1" applyFill="1" applyBorder="1" applyAlignment="1">
      <alignment horizontal="center" vertical="center"/>
    </xf>
    <xf numFmtId="165" fontId="1" fillId="0" borderId="0" xfId="0" applyNumberFormat="1" applyFont="1" applyFill="1" applyBorder="1" applyAlignment="1">
      <alignment horizontal="center" vertical="center"/>
    </xf>
    <xf numFmtId="164" fontId="0" fillId="0" borderId="0" xfId="0" applyNumberFormat="1" applyAlignment="1">
      <alignment horizontal="center" vertical="center"/>
    </xf>
    <xf numFmtId="0" fontId="0" fillId="0" borderId="0" xfId="0" applyFill="1" applyAlignment="1">
      <alignment vertical="center"/>
    </xf>
    <xf numFmtId="2" fontId="0" fillId="0" borderId="0" xfId="0" applyNumberFormat="1" applyAlignment="1">
      <alignment horizontal="center" vertical="center"/>
    </xf>
    <xf numFmtId="1" fontId="0" fillId="0" borderId="0" xfId="0" applyNumberFormat="1" applyAlignment="1">
      <alignment vertical="center"/>
    </xf>
    <xf numFmtId="0" fontId="1" fillId="0" borderId="3" xfId="0" applyFont="1" applyBorder="1" applyAlignment="1">
      <alignment horizontal="center" vertical="center"/>
    </xf>
    <xf numFmtId="0" fontId="1" fillId="0" borderId="36" xfId="0" applyFont="1" applyBorder="1" applyAlignment="1">
      <alignment horizontal="center" vertical="center"/>
    </xf>
    <xf numFmtId="164" fontId="1" fillId="2" borderId="1" xfId="0" applyNumberFormat="1" applyFont="1" applyFill="1" applyBorder="1" applyAlignment="1">
      <alignment horizontal="center" vertical="center"/>
    </xf>
    <xf numFmtId="164" fontId="1" fillId="0" borderId="1" xfId="0" applyNumberFormat="1" applyFont="1" applyFill="1" applyBorder="1" applyAlignment="1">
      <alignment horizontal="center" vertical="center"/>
    </xf>
    <xf numFmtId="164" fontId="0" fillId="0" borderId="1" xfId="0" applyNumberFormat="1" applyBorder="1" applyAlignment="1">
      <alignment horizontal="center" vertical="center"/>
    </xf>
    <xf numFmtId="0" fontId="1" fillId="0" borderId="2" xfId="0" applyFont="1" applyBorder="1" applyAlignment="1">
      <alignment horizontal="center" vertical="center"/>
    </xf>
    <xf numFmtId="164" fontId="1" fillId="2" borderId="22" xfId="0" applyNumberFormat="1" applyFont="1" applyFill="1" applyBorder="1" applyAlignment="1">
      <alignment horizontal="center" vertical="center"/>
    </xf>
    <xf numFmtId="164" fontId="1" fillId="0" borderId="22" xfId="0" applyNumberFormat="1" applyFont="1" applyFill="1" applyBorder="1" applyAlignment="1">
      <alignment horizontal="center" vertical="center"/>
    </xf>
    <xf numFmtId="164" fontId="0" fillId="0" borderId="22" xfId="0" applyNumberFormat="1" applyBorder="1" applyAlignment="1">
      <alignment horizontal="center" vertical="center"/>
    </xf>
    <xf numFmtId="164" fontId="1" fillId="2" borderId="37" xfId="0" applyNumberFormat="1" applyFont="1" applyFill="1" applyBorder="1" applyAlignment="1">
      <alignment horizontal="center" vertical="center"/>
    </xf>
    <xf numFmtId="164" fontId="1" fillId="0" borderId="37" xfId="0" applyNumberFormat="1" applyFont="1" applyFill="1" applyBorder="1" applyAlignment="1">
      <alignment horizontal="center" vertical="center"/>
    </xf>
    <xf numFmtId="164" fontId="1" fillId="0" borderId="28" xfId="0" applyNumberFormat="1" applyFont="1" applyFill="1" applyBorder="1" applyAlignment="1">
      <alignment horizontal="center" vertical="center"/>
    </xf>
    <xf numFmtId="164" fontId="0" fillId="0" borderId="28" xfId="0" applyNumberFormat="1" applyBorder="1" applyAlignment="1">
      <alignment horizontal="center" vertical="center"/>
    </xf>
    <xf numFmtId="0" fontId="0" fillId="0" borderId="28" xfId="0" applyBorder="1" applyAlignment="1">
      <alignment vertical="center"/>
    </xf>
    <xf numFmtId="2" fontId="0" fillId="0" borderId="28" xfId="0" applyNumberFormat="1" applyBorder="1" applyAlignment="1">
      <alignment horizontal="center" vertical="center"/>
    </xf>
    <xf numFmtId="0" fontId="0" fillId="0" borderId="24" xfId="0" applyBorder="1" applyAlignment="1">
      <alignment vertical="center"/>
    </xf>
    <xf numFmtId="0" fontId="0" fillId="0" borderId="25" xfId="0" applyBorder="1" applyAlignment="1">
      <alignment vertical="center"/>
    </xf>
    <xf numFmtId="0" fontId="0" fillId="0" borderId="38" xfId="0" applyBorder="1" applyAlignment="1">
      <alignment vertical="center"/>
    </xf>
    <xf numFmtId="0" fontId="0" fillId="0" borderId="29" xfId="0" applyBorder="1" applyAlignment="1">
      <alignment vertical="center"/>
    </xf>
    <xf numFmtId="0" fontId="0" fillId="0" borderId="40" xfId="0" applyBorder="1" applyAlignment="1">
      <alignment vertical="center"/>
    </xf>
    <xf numFmtId="0" fontId="1" fillId="0" borderId="5" xfId="0" applyFont="1" applyBorder="1" applyAlignment="1">
      <alignment vertical="center"/>
    </xf>
    <xf numFmtId="0" fontId="0" fillId="0" borderId="5" xfId="0" applyFill="1" applyBorder="1" applyAlignment="1">
      <alignment vertical="center"/>
    </xf>
    <xf numFmtId="0" fontId="0" fillId="0" borderId="6" xfId="0" applyFill="1" applyBorder="1" applyAlignment="1">
      <alignment vertical="center"/>
    </xf>
    <xf numFmtId="0" fontId="1" fillId="0" borderId="5" xfId="0" applyFont="1" applyFill="1" applyBorder="1" applyAlignment="1">
      <alignment vertical="center"/>
    </xf>
    <xf numFmtId="0" fontId="6" fillId="0" borderId="0" xfId="0" applyFont="1" applyAlignment="1">
      <alignment vertical="center"/>
    </xf>
    <xf numFmtId="164" fontId="0" fillId="3" borderId="22" xfId="0" applyNumberFormat="1" applyFill="1" applyBorder="1" applyAlignment="1">
      <alignment horizontal="center" vertical="center"/>
    </xf>
    <xf numFmtId="164" fontId="0" fillId="3" borderId="1" xfId="0" applyNumberFormat="1" applyFill="1" applyBorder="1" applyAlignment="1">
      <alignment horizontal="center" vertical="center"/>
    </xf>
    <xf numFmtId="164" fontId="0" fillId="3" borderId="37" xfId="0" applyNumberFormat="1" applyFill="1" applyBorder="1" applyAlignment="1">
      <alignment horizontal="center" vertical="center"/>
    </xf>
    <xf numFmtId="0" fontId="16" fillId="7" borderId="40" xfId="0" applyFont="1" applyFill="1" applyBorder="1" applyAlignment="1">
      <alignment vertical="center"/>
    </xf>
    <xf numFmtId="0" fontId="17" fillId="7" borderId="19" xfId="0" applyFont="1" applyFill="1" applyBorder="1" applyAlignment="1">
      <alignment vertical="center"/>
    </xf>
    <xf numFmtId="0" fontId="17" fillId="7" borderId="20" xfId="0" applyFont="1" applyFill="1" applyBorder="1" applyAlignment="1">
      <alignment vertical="center"/>
    </xf>
    <xf numFmtId="0" fontId="17" fillId="7" borderId="39" xfId="0" applyFont="1" applyFill="1" applyBorder="1" applyAlignment="1">
      <alignment vertical="center"/>
    </xf>
    <xf numFmtId="0" fontId="17" fillId="7" borderId="40" xfId="0" applyFont="1" applyFill="1" applyBorder="1" applyAlignment="1">
      <alignment vertical="center"/>
    </xf>
    <xf numFmtId="2" fontId="0" fillId="3" borderId="22" xfId="0" applyNumberFormat="1" applyFill="1" applyBorder="1" applyAlignment="1">
      <alignment horizontal="center" vertical="center"/>
    </xf>
    <xf numFmtId="2" fontId="0" fillId="3" borderId="1" xfId="0" applyNumberFormat="1" applyFill="1" applyBorder="1" applyAlignment="1">
      <alignment horizontal="center" vertical="center"/>
    </xf>
    <xf numFmtId="0" fontId="16" fillId="7" borderId="2" xfId="0" applyFont="1" applyFill="1" applyBorder="1" applyAlignment="1">
      <alignment vertical="center"/>
    </xf>
    <xf numFmtId="0" fontId="17" fillId="7" borderId="3" xfId="0" applyFont="1" applyFill="1" applyBorder="1" applyAlignment="1">
      <alignment vertical="center"/>
    </xf>
    <xf numFmtId="0" fontId="17" fillId="7" borderId="4" xfId="0" applyFont="1" applyFill="1" applyBorder="1" applyAlignment="1">
      <alignment vertical="center"/>
    </xf>
    <xf numFmtId="164" fontId="0" fillId="0" borderId="1" xfId="0" applyNumberFormat="1" applyFont="1" applyFill="1" applyBorder="1" applyAlignment="1">
      <alignment horizontal="center" vertical="center"/>
    </xf>
    <xf numFmtId="164" fontId="0" fillId="0" borderId="23" xfId="0" applyNumberFormat="1" applyFont="1" applyFill="1" applyBorder="1" applyAlignment="1">
      <alignment horizontal="center" vertical="center"/>
    </xf>
    <xf numFmtId="164" fontId="0" fillId="0" borderId="22" xfId="0" applyNumberFormat="1" applyFont="1" applyFill="1" applyBorder="1" applyAlignment="1">
      <alignment horizontal="center" vertical="center"/>
    </xf>
    <xf numFmtId="1" fontId="1" fillId="2" borderId="24" xfId="0" applyNumberFormat="1" applyFont="1" applyFill="1" applyBorder="1" applyAlignment="1">
      <alignment horizontal="center" vertical="center"/>
    </xf>
    <xf numFmtId="1" fontId="1" fillId="2" borderId="25" xfId="0" applyNumberFormat="1" applyFont="1" applyFill="1" applyBorder="1" applyAlignment="1">
      <alignment horizontal="center" vertical="center"/>
    </xf>
    <xf numFmtId="1" fontId="1" fillId="2" borderId="19" xfId="0" applyNumberFormat="1" applyFont="1" applyFill="1" applyBorder="1" applyAlignment="1">
      <alignment horizontal="center" vertical="center"/>
    </xf>
    <xf numFmtId="1" fontId="1" fillId="2" borderId="20" xfId="0" applyNumberFormat="1" applyFont="1" applyFill="1" applyBorder="1" applyAlignment="1">
      <alignment horizontal="center" vertical="center"/>
    </xf>
    <xf numFmtId="2" fontId="1" fillId="2" borderId="1" xfId="0" applyNumberFormat="1" applyFont="1" applyFill="1" applyBorder="1" applyAlignment="1">
      <alignment horizontal="center" vertical="center"/>
    </xf>
    <xf numFmtId="2" fontId="0" fillId="3" borderId="23" xfId="0" applyNumberFormat="1" applyFill="1" applyBorder="1" applyAlignment="1">
      <alignment horizontal="center" vertical="center"/>
    </xf>
    <xf numFmtId="164" fontId="0" fillId="0" borderId="23" xfId="0" applyNumberFormat="1" applyBorder="1" applyAlignment="1">
      <alignment horizontal="center" vertical="center"/>
    </xf>
    <xf numFmtId="1" fontId="1" fillId="3" borderId="28" xfId="0" applyNumberFormat="1" applyFont="1" applyFill="1" applyBorder="1" applyAlignment="1">
      <alignment horizontal="center" vertical="center"/>
    </xf>
    <xf numFmtId="1" fontId="1" fillId="3" borderId="41" xfId="0" applyNumberFormat="1" applyFont="1" applyFill="1" applyBorder="1" applyAlignment="1">
      <alignment horizontal="center" vertical="center"/>
    </xf>
    <xf numFmtId="1" fontId="0" fillId="3" borderId="22" xfId="0" applyNumberFormat="1" applyFill="1" applyBorder="1" applyAlignment="1">
      <alignment horizontal="center" vertical="center"/>
    </xf>
    <xf numFmtId="1" fontId="0" fillId="3" borderId="1" xfId="0" applyNumberFormat="1" applyFill="1" applyBorder="1" applyAlignment="1">
      <alignment horizontal="center" vertical="center"/>
    </xf>
    <xf numFmtId="1" fontId="0" fillId="3" borderId="37" xfId="0" applyNumberFormat="1" applyFill="1" applyBorder="1" applyAlignment="1">
      <alignment horizontal="center" vertical="center"/>
    </xf>
    <xf numFmtId="1" fontId="0" fillId="3" borderId="23" xfId="0" applyNumberFormat="1" applyFill="1" applyBorder="1" applyAlignment="1">
      <alignment horizontal="center" vertical="center"/>
    </xf>
    <xf numFmtId="164" fontId="0" fillId="0" borderId="6" xfId="0" applyNumberFormat="1" applyFill="1" applyBorder="1" applyAlignment="1">
      <alignment horizontal="center" vertical="center"/>
    </xf>
    <xf numFmtId="2" fontId="1" fillId="0" borderId="8" xfId="0" applyNumberFormat="1" applyFont="1" applyFill="1" applyBorder="1" applyAlignment="1">
      <alignment horizontal="center" vertical="center"/>
    </xf>
    <xf numFmtId="164" fontId="0" fillId="0" borderId="9" xfId="0" applyNumberFormat="1" applyFill="1" applyBorder="1" applyAlignment="1">
      <alignment horizontal="center" vertical="center"/>
    </xf>
    <xf numFmtId="2" fontId="0" fillId="0" borderId="4" xfId="0" applyNumberFormat="1" applyBorder="1" applyAlignment="1">
      <alignment vertical="center"/>
    </xf>
    <xf numFmtId="0" fontId="8" fillId="0" borderId="5" xfId="0" applyFont="1" applyBorder="1" applyAlignment="1">
      <alignment vertical="center"/>
    </xf>
    <xf numFmtId="2" fontId="0" fillId="0" borderId="6" xfId="0" applyNumberFormat="1" applyBorder="1" applyAlignment="1">
      <alignment vertical="center"/>
    </xf>
    <xf numFmtId="0" fontId="8" fillId="0" borderId="7" xfId="0" applyFont="1" applyBorder="1" applyAlignment="1">
      <alignment vertical="center"/>
    </xf>
    <xf numFmtId="0" fontId="1" fillId="0" borderId="6" xfId="0" applyFont="1" applyBorder="1" applyAlignment="1">
      <alignment horizontal="center" vertical="center" wrapText="1"/>
    </xf>
    <xf numFmtId="1" fontId="1" fillId="0" borderId="0" xfId="0" applyNumberFormat="1" applyFont="1" applyFill="1" applyBorder="1" applyAlignment="1">
      <alignment horizontal="center" vertical="center"/>
    </xf>
    <xf numFmtId="1" fontId="1" fillId="0" borderId="8" xfId="0" applyNumberFormat="1" applyFont="1" applyFill="1" applyBorder="1" applyAlignment="1">
      <alignment horizontal="center" vertical="center"/>
    </xf>
    <xf numFmtId="1" fontId="1" fillId="2" borderId="21" xfId="0" applyNumberFormat="1" applyFont="1" applyFill="1" applyBorder="1" applyAlignment="1">
      <alignment horizontal="center" vertical="center"/>
    </xf>
    <xf numFmtId="1" fontId="1" fillId="2" borderId="23" xfId="0" applyNumberFormat="1" applyFont="1" applyFill="1" applyBorder="1" applyAlignment="1">
      <alignment horizontal="center" vertical="center"/>
    </xf>
    <xf numFmtId="1" fontId="1" fillId="2" borderId="26" xfId="0" applyNumberFormat="1" applyFont="1" applyFill="1" applyBorder="1" applyAlignment="1">
      <alignment horizontal="center" vertical="center"/>
    </xf>
    <xf numFmtId="0" fontId="19" fillId="0" borderId="5" xfId="0" applyFont="1" applyBorder="1" applyAlignment="1">
      <alignment vertical="center"/>
    </xf>
    <xf numFmtId="0" fontId="0" fillId="0" borderId="41" xfId="0" applyBorder="1" applyAlignment="1">
      <alignment vertical="center"/>
    </xf>
    <xf numFmtId="1" fontId="1" fillId="0" borderId="41" xfId="0" applyNumberFormat="1" applyFont="1" applyFill="1" applyBorder="1" applyAlignment="1">
      <alignment horizontal="center" vertical="center"/>
    </xf>
    <xf numFmtId="1" fontId="6" fillId="0" borderId="22" xfId="0" applyNumberFormat="1" applyFont="1" applyFill="1" applyBorder="1" applyAlignment="1">
      <alignment horizontal="center" vertical="center"/>
    </xf>
    <xf numFmtId="1" fontId="6" fillId="0" borderId="1" xfId="0" applyNumberFormat="1" applyFont="1" applyFill="1" applyBorder="1" applyAlignment="1">
      <alignment horizontal="center" vertical="center"/>
    </xf>
    <xf numFmtId="1" fontId="6" fillId="0" borderId="23" xfId="0" applyNumberFormat="1" applyFont="1" applyFill="1" applyBorder="1" applyAlignment="1">
      <alignment horizontal="center" vertical="center"/>
    </xf>
    <xf numFmtId="0" fontId="0" fillId="0" borderId="26" xfId="0" applyBorder="1" applyAlignment="1">
      <alignment vertical="center"/>
    </xf>
    <xf numFmtId="0" fontId="0" fillId="0" borderId="42" xfId="0" applyBorder="1" applyAlignment="1">
      <alignment vertical="center"/>
    </xf>
    <xf numFmtId="1" fontId="20" fillId="7" borderId="20" xfId="0" applyNumberFormat="1" applyFont="1" applyFill="1" applyBorder="1" applyAlignment="1">
      <alignment vertical="center"/>
    </xf>
    <xf numFmtId="0" fontId="20" fillId="7" borderId="40" xfId="0" applyFont="1" applyFill="1" applyBorder="1" applyAlignment="1">
      <alignment vertical="center"/>
    </xf>
    <xf numFmtId="0" fontId="21" fillId="0" borderId="0" xfId="0" applyFont="1" applyAlignment="1">
      <alignment vertical="center"/>
    </xf>
    <xf numFmtId="0" fontId="2" fillId="5" borderId="10" xfId="1" applyFill="1" applyBorder="1" applyAlignment="1" applyProtection="1">
      <alignment horizontal="center" vertical="center"/>
    </xf>
    <xf numFmtId="0" fontId="2" fillId="5" borderId="11" xfId="1" applyFill="1" applyBorder="1" applyAlignment="1" applyProtection="1">
      <alignment horizontal="center" vertical="center"/>
    </xf>
    <xf numFmtId="0" fontId="2" fillId="5" borderId="12" xfId="1" applyFill="1" applyBorder="1" applyAlignment="1" applyProtection="1">
      <alignment horizontal="center" vertical="center"/>
    </xf>
    <xf numFmtId="0" fontId="2" fillId="5" borderId="13" xfId="1" applyFill="1" applyBorder="1" applyAlignment="1" applyProtection="1">
      <alignment horizontal="center" vertical="center"/>
    </xf>
    <xf numFmtId="0" fontId="2" fillId="5" borderId="14" xfId="1" applyFill="1" applyBorder="1" applyAlignment="1" applyProtection="1">
      <alignment horizontal="center" vertical="center"/>
    </xf>
    <xf numFmtId="0" fontId="2" fillId="5" borderId="15" xfId="1" applyFill="1" applyBorder="1" applyAlignment="1" applyProtection="1">
      <alignment horizontal="center" vertical="center"/>
    </xf>
    <xf numFmtId="0" fontId="4" fillId="0" borderId="1" xfId="0" applyFont="1" applyBorder="1" applyAlignment="1">
      <alignment horizontal="center" vertical="center" wrapText="1"/>
    </xf>
    <xf numFmtId="0" fontId="6" fillId="0" borderId="2" xfId="0" applyFont="1" applyBorder="1" applyAlignment="1">
      <alignment horizontal="left" vertical="top" wrapText="1"/>
    </xf>
    <xf numFmtId="0" fontId="6" fillId="0" borderId="3" xfId="0" applyFont="1" applyBorder="1" applyAlignment="1">
      <alignment horizontal="left" vertical="top"/>
    </xf>
    <xf numFmtId="0" fontId="6" fillId="0" borderId="4" xfId="0" applyFont="1" applyBorder="1" applyAlignment="1">
      <alignment horizontal="left" vertical="top"/>
    </xf>
    <xf numFmtId="0" fontId="6" fillId="0" borderId="5" xfId="0" applyFont="1" applyBorder="1" applyAlignment="1">
      <alignment horizontal="left" vertical="top"/>
    </xf>
    <xf numFmtId="0" fontId="6" fillId="0" borderId="0" xfId="0" applyFont="1" applyBorder="1" applyAlignment="1">
      <alignment horizontal="left" vertical="top"/>
    </xf>
    <xf numFmtId="0" fontId="6" fillId="0" borderId="6" xfId="0" applyFont="1" applyBorder="1" applyAlignment="1">
      <alignment horizontal="left" vertical="top"/>
    </xf>
    <xf numFmtId="0" fontId="6" fillId="0" borderId="7" xfId="0" applyFont="1" applyBorder="1" applyAlignment="1">
      <alignment horizontal="left" vertical="top"/>
    </xf>
    <xf numFmtId="0" fontId="6" fillId="0" borderId="8" xfId="0" applyFont="1" applyBorder="1" applyAlignment="1">
      <alignment horizontal="left" vertical="top"/>
    </xf>
    <xf numFmtId="0" fontId="6" fillId="0" borderId="9" xfId="0" applyFont="1" applyBorder="1" applyAlignment="1">
      <alignment horizontal="left" vertical="top"/>
    </xf>
    <xf numFmtId="0" fontId="18" fillId="8" borderId="33" xfId="1" applyFont="1" applyFill="1" applyBorder="1" applyAlignment="1" applyProtection="1">
      <alignment horizontal="center" vertical="center"/>
    </xf>
    <xf numFmtId="0" fontId="18" fillId="8" borderId="35" xfId="1" applyFont="1" applyFill="1" applyBorder="1" applyAlignment="1" applyProtection="1">
      <alignment horizontal="center" vertical="center"/>
    </xf>
    <xf numFmtId="2" fontId="6" fillId="6" borderId="0" xfId="0" applyNumberFormat="1" applyFont="1" applyFill="1" applyBorder="1" applyAlignment="1">
      <alignment horizontal="center" vertical="center"/>
    </xf>
    <xf numFmtId="0" fontId="6" fillId="6" borderId="0" xfId="0" applyFont="1" applyFill="1" applyBorder="1" applyAlignment="1">
      <alignment horizontal="center" vertical="center"/>
    </xf>
    <xf numFmtId="2" fontId="1" fillId="2" borderId="1" xfId="0" applyNumberFormat="1" applyFont="1" applyFill="1" applyBorder="1" applyAlignment="1">
      <alignment horizontal="center" vertical="center"/>
    </xf>
    <xf numFmtId="0" fontId="0" fillId="6" borderId="0" xfId="0" applyFill="1" applyBorder="1" applyAlignment="1">
      <alignment horizontal="center" vertical="center"/>
    </xf>
    <xf numFmtId="0" fontId="8" fillId="6" borderId="2" xfId="0" applyFont="1" applyFill="1" applyBorder="1" applyAlignment="1">
      <alignment horizontal="left" vertical="center"/>
    </xf>
    <xf numFmtId="0" fontId="8" fillId="6" borderId="3" xfId="0" applyFont="1" applyFill="1" applyBorder="1" applyAlignment="1">
      <alignment horizontal="left" vertical="center"/>
    </xf>
    <xf numFmtId="0" fontId="8" fillId="6" borderId="4" xfId="0" applyFont="1" applyFill="1" applyBorder="1" applyAlignment="1">
      <alignment horizontal="left" vertical="center"/>
    </xf>
    <xf numFmtId="0" fontId="6" fillId="0" borderId="5" xfId="0" applyFont="1" applyBorder="1" applyAlignment="1">
      <alignment horizontal="left" vertical="top" wrapText="1"/>
    </xf>
    <xf numFmtId="0" fontId="6" fillId="0" borderId="0" xfId="0" applyFont="1" applyBorder="1" applyAlignment="1">
      <alignment horizontal="left" vertical="top" wrapText="1"/>
    </xf>
    <xf numFmtId="0" fontId="6" fillId="0" borderId="7" xfId="0" applyFont="1" applyBorder="1" applyAlignment="1">
      <alignment horizontal="left" vertical="top" wrapText="1"/>
    </xf>
    <xf numFmtId="0" fontId="6" fillId="0" borderId="8" xfId="0" applyFont="1" applyBorder="1" applyAlignment="1">
      <alignment horizontal="left" vertical="top" wrapText="1"/>
    </xf>
    <xf numFmtId="0" fontId="6" fillId="0" borderId="6" xfId="0" applyFont="1" applyBorder="1" applyAlignment="1">
      <alignment horizontal="left" vertical="top" wrapText="1"/>
    </xf>
    <xf numFmtId="0" fontId="6" fillId="0" borderId="9" xfId="0" applyFont="1" applyBorder="1" applyAlignment="1">
      <alignment horizontal="left" vertical="top" wrapText="1"/>
    </xf>
    <xf numFmtId="0" fontId="6" fillId="0" borderId="3" xfId="0" applyFont="1" applyBorder="1" applyAlignment="1">
      <alignment horizontal="left" vertical="top" wrapText="1"/>
    </xf>
    <xf numFmtId="0" fontId="6" fillId="0" borderId="4" xfId="0" applyFont="1" applyBorder="1" applyAlignment="1">
      <alignment horizontal="left" vertical="top" wrapText="1"/>
    </xf>
    <xf numFmtId="0" fontId="0" fillId="2" borderId="5" xfId="0" applyFill="1" applyBorder="1" applyAlignment="1">
      <alignment horizontal="left" vertical="top" wrapText="1"/>
    </xf>
    <xf numFmtId="0" fontId="0" fillId="2" borderId="0" xfId="0" applyFill="1" applyBorder="1" applyAlignment="1">
      <alignment horizontal="left" vertical="top" wrapText="1"/>
    </xf>
    <xf numFmtId="0" fontId="0" fillId="2" borderId="6" xfId="0" applyFill="1" applyBorder="1" applyAlignment="1">
      <alignment horizontal="left" vertical="top" wrapText="1"/>
    </xf>
    <xf numFmtId="0" fontId="0" fillId="2" borderId="7" xfId="0" applyFill="1" applyBorder="1" applyAlignment="1">
      <alignment horizontal="left" vertical="top" wrapText="1"/>
    </xf>
    <xf numFmtId="0" fontId="0" fillId="2" borderId="8" xfId="0" applyFill="1" applyBorder="1" applyAlignment="1">
      <alignment horizontal="left" vertical="top" wrapText="1"/>
    </xf>
    <xf numFmtId="0" fontId="0" fillId="2" borderId="9" xfId="0" applyFill="1" applyBorder="1" applyAlignment="1">
      <alignment horizontal="left" vertical="top" wrapText="1"/>
    </xf>
    <xf numFmtId="0" fontId="6" fillId="0" borderId="5" xfId="0" applyFont="1" applyBorder="1" applyAlignment="1">
      <alignment horizontal="center" vertical="center" wrapText="1"/>
    </xf>
    <xf numFmtId="0" fontId="6" fillId="0" borderId="5" xfId="0" applyFont="1" applyBorder="1" applyAlignment="1">
      <alignment vertical="center" wrapText="1"/>
    </xf>
    <xf numFmtId="0" fontId="6" fillId="0" borderId="0" xfId="0" applyFont="1" applyAlignment="1">
      <alignment vertical="center" wrapText="1"/>
    </xf>
    <xf numFmtId="0" fontId="6" fillId="0" borderId="2" xfId="0" applyFont="1" applyBorder="1" applyAlignment="1">
      <alignment horizontal="center" vertical="center" wrapText="1"/>
    </xf>
    <xf numFmtId="0" fontId="6" fillId="0" borderId="3" xfId="0" applyFont="1" applyBorder="1" applyAlignment="1">
      <alignment horizontal="center" vertical="center" wrapText="1"/>
    </xf>
    <xf numFmtId="0" fontId="6" fillId="0" borderId="4" xfId="0" applyFont="1" applyBorder="1" applyAlignment="1">
      <alignment horizontal="center" vertical="center" wrapText="1"/>
    </xf>
    <xf numFmtId="0" fontId="6" fillId="0" borderId="0" xfId="0" applyFont="1" applyBorder="1" applyAlignment="1">
      <alignment horizontal="center" vertical="center" wrapText="1"/>
    </xf>
    <xf numFmtId="0" fontId="6" fillId="0" borderId="6" xfId="0" applyFont="1" applyBorder="1" applyAlignment="1">
      <alignment horizontal="center" vertical="center" wrapText="1"/>
    </xf>
    <xf numFmtId="0" fontId="6" fillId="0" borderId="7" xfId="0" applyFont="1" applyBorder="1" applyAlignment="1">
      <alignment horizontal="center" vertical="center" wrapText="1"/>
    </xf>
    <xf numFmtId="0" fontId="6" fillId="0" borderId="8" xfId="0" applyFont="1" applyBorder="1" applyAlignment="1">
      <alignment horizontal="center" vertical="center" wrapText="1"/>
    </xf>
    <xf numFmtId="0" fontId="6" fillId="0" borderId="9" xfId="0" applyFont="1" applyBorder="1" applyAlignment="1">
      <alignment horizontal="center" vertical="center" wrapText="1"/>
    </xf>
    <xf numFmtId="0" fontId="15" fillId="0" borderId="0" xfId="1" applyFont="1" applyAlignment="1" applyProtection="1">
      <alignment horizontal="left" vertical="center"/>
    </xf>
  </cellXfs>
  <cellStyles count="2">
    <cellStyle name="Hyperlink" xfId="1" builtinId="8"/>
    <cellStyle name="Standard" xfId="0" builtinId="0"/>
  </cellStyles>
  <dxfs count="180">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ill>
        <patternFill>
          <bgColor rgb="FFFF0000"/>
        </patternFill>
      </fill>
    </dxf>
    <dxf>
      <fill>
        <patternFill>
          <bgColor rgb="FFFF0000"/>
        </patternFill>
      </fill>
    </dxf>
    <dxf>
      <fill>
        <patternFill>
          <bgColor rgb="FFFF0000"/>
        </patternFill>
      </fill>
    </dxf>
    <dxf>
      <font>
        <color theme="0" tint="-4.9989318521683403E-2"/>
      </font>
    </dxf>
    <dxf>
      <fill>
        <patternFill>
          <bgColor rgb="FFFF0000"/>
        </patternFill>
      </fill>
    </dxf>
    <dxf>
      <fill>
        <patternFill>
          <bgColor rgb="FFFF0000"/>
        </patternFill>
      </fill>
    </dxf>
    <dxf>
      <font>
        <color theme="0" tint="-4.9989318521683403E-2"/>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ill>
        <patternFill>
          <bgColor rgb="FFFF0000"/>
        </patternFill>
      </fill>
    </dxf>
    <dxf>
      <fill>
        <patternFill>
          <bgColor rgb="FFFF0000"/>
        </patternFill>
      </fill>
    </dxf>
    <dxf>
      <fill>
        <patternFill>
          <bgColor rgb="FFFF0000"/>
        </patternFill>
      </fill>
    </dxf>
    <dxf>
      <font>
        <color theme="0" tint="-4.9989318521683403E-2"/>
      </font>
    </dxf>
    <dxf>
      <fill>
        <patternFill>
          <bgColor rgb="FFFF0000"/>
        </patternFill>
      </fill>
    </dxf>
    <dxf>
      <fill>
        <patternFill>
          <bgColor rgb="FFFF0000"/>
        </patternFill>
      </fill>
    </dxf>
    <dxf>
      <font>
        <color theme="0" tint="-4.9989318521683403E-2"/>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ill>
        <patternFill>
          <bgColor rgb="FFFF0000"/>
        </patternFill>
      </fill>
    </dxf>
    <dxf>
      <fill>
        <patternFill>
          <bgColor rgb="FFFF0000"/>
        </patternFill>
      </fill>
    </dxf>
    <dxf>
      <fill>
        <patternFill>
          <bgColor rgb="FFFF0000"/>
        </patternFill>
      </fill>
    </dxf>
    <dxf>
      <font>
        <color theme="0" tint="-4.9989318521683403E-2"/>
      </font>
    </dxf>
    <dxf>
      <fill>
        <patternFill>
          <bgColor rgb="FFFF0000"/>
        </patternFill>
      </fill>
    </dxf>
    <dxf>
      <fill>
        <patternFill>
          <bgColor rgb="FFFF0000"/>
        </patternFill>
      </fill>
    </dxf>
    <dxf>
      <font>
        <color theme="0" tint="-4.9989318521683403E-2"/>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ill>
        <patternFill>
          <bgColor rgb="FFFF0000"/>
        </patternFill>
      </fill>
    </dxf>
    <dxf>
      <fill>
        <patternFill>
          <bgColor rgb="FFFF0000"/>
        </patternFill>
      </fill>
    </dxf>
    <dxf>
      <fill>
        <patternFill>
          <bgColor rgb="FFFF0000"/>
        </patternFill>
      </fill>
    </dxf>
    <dxf>
      <font>
        <color theme="0" tint="-4.9989318521683403E-2"/>
      </font>
    </dxf>
    <dxf>
      <fill>
        <patternFill>
          <bgColor rgb="FFFF0000"/>
        </patternFill>
      </fill>
    </dxf>
    <dxf>
      <fill>
        <patternFill>
          <bgColor rgb="FFFF0000"/>
        </patternFill>
      </fill>
    </dxf>
    <dxf>
      <font>
        <color theme="0" tint="-4.9989318521683403E-2"/>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ill>
        <patternFill>
          <bgColor rgb="FFFF0000"/>
        </patternFill>
      </fill>
    </dxf>
    <dxf>
      <fill>
        <patternFill>
          <bgColor rgb="FFFF0000"/>
        </patternFill>
      </fill>
    </dxf>
    <dxf>
      <fill>
        <patternFill>
          <bgColor rgb="FFFF0000"/>
        </patternFill>
      </fill>
    </dxf>
    <dxf>
      <font>
        <color theme="0" tint="-4.9989318521683403E-2"/>
      </font>
    </dxf>
    <dxf>
      <fill>
        <patternFill>
          <bgColor rgb="FFFF0000"/>
        </patternFill>
      </fill>
    </dxf>
    <dxf>
      <fill>
        <patternFill>
          <bgColor rgb="FFFF0000"/>
        </patternFill>
      </fill>
    </dxf>
    <dxf>
      <font>
        <color theme="0" tint="-4.9989318521683403E-2"/>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ill>
        <patternFill>
          <bgColor rgb="FFFF0000"/>
        </patternFill>
      </fill>
    </dxf>
    <dxf>
      <fill>
        <patternFill>
          <bgColor rgb="FFFF0000"/>
        </patternFill>
      </fill>
    </dxf>
    <dxf>
      <fill>
        <patternFill>
          <bgColor rgb="FFFF0000"/>
        </patternFill>
      </fill>
    </dxf>
    <dxf>
      <font>
        <color theme="0" tint="-4.9989318521683403E-2"/>
      </font>
    </dxf>
    <dxf>
      <fill>
        <patternFill>
          <bgColor rgb="FFFF0000"/>
        </patternFill>
      </fill>
    </dxf>
    <dxf>
      <fill>
        <patternFill>
          <bgColor rgb="FFFF0000"/>
        </patternFill>
      </fill>
    </dxf>
    <dxf>
      <font>
        <color theme="0" tint="-4.9989318521683403E-2"/>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ill>
        <patternFill>
          <bgColor rgb="FFFF0000"/>
        </patternFill>
      </fill>
    </dxf>
    <dxf>
      <fill>
        <patternFill>
          <bgColor rgb="FFFF0000"/>
        </patternFill>
      </fill>
    </dxf>
    <dxf>
      <fill>
        <patternFill>
          <bgColor rgb="FFFF0000"/>
        </patternFill>
      </fill>
    </dxf>
    <dxf>
      <font>
        <color theme="0" tint="-4.9989318521683403E-2"/>
      </font>
    </dxf>
    <dxf>
      <fill>
        <patternFill>
          <bgColor rgb="FFFF0000"/>
        </patternFill>
      </fill>
    </dxf>
    <dxf>
      <fill>
        <patternFill>
          <bgColor rgb="FFFF0000"/>
        </patternFill>
      </fill>
    </dxf>
    <dxf>
      <font>
        <color theme="0" tint="-4.9989318521683403E-2"/>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ill>
        <patternFill>
          <bgColor rgb="FFFF0000"/>
        </patternFill>
      </fill>
    </dxf>
    <dxf>
      <fill>
        <patternFill>
          <bgColor rgb="FFFF0000"/>
        </patternFill>
      </fill>
    </dxf>
    <dxf>
      <fill>
        <patternFill>
          <bgColor rgb="FFFF0000"/>
        </patternFill>
      </fill>
    </dxf>
    <dxf>
      <font>
        <color theme="0" tint="-4.9989318521683403E-2"/>
      </font>
    </dxf>
    <dxf>
      <fill>
        <patternFill>
          <bgColor rgb="FFFF0000"/>
        </patternFill>
      </fill>
    </dxf>
    <dxf>
      <fill>
        <patternFill>
          <bgColor rgb="FFFF0000"/>
        </patternFill>
      </fill>
    </dxf>
    <dxf>
      <font>
        <color theme="0" tint="-4.9989318521683403E-2"/>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theme="0"/>
      </font>
      <border>
        <left style="thin">
          <color theme="0"/>
        </left>
        <right style="thin">
          <color theme="0"/>
        </right>
        <vertical/>
        <horizontal/>
      </border>
    </dxf>
    <dxf>
      <font>
        <color theme="0"/>
      </font>
      <border>
        <left style="thin">
          <color theme="0"/>
        </left>
        <right style="thin">
          <color theme="0"/>
        </right>
        <vertical/>
        <horizontal/>
      </border>
    </dxf>
    <dxf>
      <font>
        <color theme="0"/>
      </font>
      <border>
        <left style="thin">
          <color theme="0"/>
        </left>
        <right style="thin">
          <color theme="0"/>
        </right>
        <vertical/>
        <horizontal/>
      </border>
    </dxf>
    <dxf>
      <font>
        <color theme="0"/>
      </font>
      <border>
        <left style="thin">
          <color theme="0"/>
        </left>
        <right style="thin">
          <color theme="0"/>
        </right>
        <vertical/>
        <horizontal/>
      </border>
    </dxf>
    <dxf>
      <font>
        <color theme="0"/>
      </font>
      <border>
        <left style="thin">
          <color theme="0"/>
        </left>
        <right style="thin">
          <color theme="0"/>
        </right>
        <vertical/>
        <horizontal/>
      </border>
    </dxf>
  </dxfs>
  <tableStyles count="0" defaultTableStyle="TableStyleMedium9" defaultPivotStyle="PivotStyleLight16"/>
  <colors>
    <mruColors>
      <color rgb="FFFFFFCC"/>
    </mruColors>
  </colors>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lang val="de-DE"/>
  <c:chart>
    <c:autoTitleDeleted val="1"/>
    <c:plotArea>
      <c:layout>
        <c:manualLayout>
          <c:layoutTarget val="inner"/>
          <c:xMode val="edge"/>
          <c:yMode val="edge"/>
          <c:x val="0.17318378969207096"/>
          <c:y val="0.10816134234652078"/>
          <c:w val="0.75802752772614312"/>
          <c:h val="0.6912160137628921"/>
        </c:manualLayout>
      </c:layout>
      <c:scatterChart>
        <c:scatterStyle val="lineMarker"/>
        <c:ser>
          <c:idx val="0"/>
          <c:order val="0"/>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forward val="5"/>
            <c:backward val="5"/>
          </c:trendline>
          <c:xVal>
            <c:numRef>
              <c:f>Hilfsdaten!$J$23:$K$23</c:f>
              <c:numCache>
                <c:formatCode>0</c:formatCode>
                <c:ptCount val="2"/>
                <c:pt idx="0">
                  <c:v>15</c:v>
                </c:pt>
                <c:pt idx="1">
                  <c:v>26</c:v>
                </c:pt>
              </c:numCache>
            </c:numRef>
          </c:xVal>
          <c:yVal>
            <c:numRef>
              <c:f>Hilfsdaten!$B$23:$C$23</c:f>
              <c:numCache>
                <c:formatCode>0.0</c:formatCode>
                <c:ptCount val="2"/>
                <c:pt idx="0">
                  <c:v>4.5851528384279474</c:v>
                </c:pt>
                <c:pt idx="1">
                  <c:v>5.9670781893004108</c:v>
                </c:pt>
              </c:numCache>
            </c:numRef>
          </c:yVal>
          <c:extLst xmlns:c16r2="http://schemas.microsoft.com/office/drawing/2015/06/chart">
            <c:ext xmlns:c16="http://schemas.microsoft.com/office/drawing/2014/chart" uri="{C3380CC4-5D6E-409C-BE32-E72D297353CC}">
              <c16:uniqueId val="{00000000-7CB6-46C1-A1BE-AB69202BB9ED}"/>
            </c:ext>
          </c:extLst>
        </c:ser>
        <c:axId val="114290688"/>
        <c:axId val="114292224"/>
      </c:scatterChart>
      <c:valAx>
        <c:axId val="114290688"/>
        <c:scaling>
          <c:orientation val="minMax"/>
          <c:max val="30"/>
          <c:min val="10"/>
        </c:scaling>
        <c:axPos val="b"/>
        <c:majorGridlines>
          <c:spPr>
            <a:ln w="9525" cap="flat" cmpd="sng" algn="ctr">
              <a:solidFill>
                <a:schemeClr val="tx1">
                  <a:lumMod val="15000"/>
                  <a:lumOff val="85000"/>
                </a:schemeClr>
              </a:solidFill>
              <a:round/>
            </a:ln>
            <a:effectLst/>
          </c:spPr>
        </c:majorGridlines>
        <c:numFmt formatCode="#,#00\ \°\C" sourceLinked="0"/>
        <c:maj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14292224"/>
        <c:crosses val="autoZero"/>
        <c:crossBetween val="midCat"/>
        <c:majorUnit val="10"/>
      </c:valAx>
      <c:valAx>
        <c:axId val="114292224"/>
        <c:scaling>
          <c:orientation val="minMax"/>
        </c:scaling>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COP</a:t>
                </a:r>
              </a:p>
            </c:rich>
          </c:tx>
          <c:layout>
            <c:manualLayout>
              <c:xMode val="edge"/>
              <c:yMode val="edge"/>
              <c:x val="4.4208664898320298E-3"/>
              <c:y val="0.34012599983431357"/>
            </c:manualLayout>
          </c:layout>
          <c:spPr>
            <a:noFill/>
            <a:ln>
              <a:noFill/>
            </a:ln>
            <a:effectLst/>
          </c:spPr>
        </c:title>
        <c:numFmt formatCode="0.0" sourceLinked="1"/>
        <c:maj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14290688"/>
        <c:crosses val="autoZero"/>
        <c:crossBetween val="midCat"/>
      </c:valAx>
      <c:spPr>
        <a:noFill/>
        <a:ln>
          <a:noFill/>
        </a:ln>
        <a:effectLst/>
      </c:spPr>
    </c:plotArea>
    <c:plotVisOnly val="1"/>
    <c:dispBlanksAs val="gap"/>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0000000000000062" r="0.70000000000000062" t="0.78740157499999996"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de-DE"/>
  <c:chart>
    <c:autoTitleDeleted val="1"/>
    <c:plotArea>
      <c:layout>
        <c:manualLayout>
          <c:layoutTarget val="inner"/>
          <c:xMode val="edge"/>
          <c:yMode val="edge"/>
          <c:x val="0.17318378969207096"/>
          <c:y val="0.10816134234652085"/>
          <c:w val="0.75802752772614312"/>
          <c:h val="0.6912160137628921"/>
        </c:manualLayout>
      </c:layout>
      <c:scatterChart>
        <c:scatterStyle val="lineMarker"/>
        <c:ser>
          <c:idx val="0"/>
          <c:order val="0"/>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forward val="5"/>
            <c:backward val="5"/>
          </c:trendline>
          <c:xVal>
            <c:numRef>
              <c:f>Hilfsdaten!$J$24:$K$24</c:f>
              <c:numCache>
                <c:formatCode>0</c:formatCode>
                <c:ptCount val="2"/>
                <c:pt idx="0">
                  <c:v>15</c:v>
                </c:pt>
                <c:pt idx="1">
                  <c:v>26</c:v>
                </c:pt>
              </c:numCache>
            </c:numRef>
          </c:xVal>
          <c:yVal>
            <c:numRef>
              <c:f>Hilfsdaten!$B$24:$C$24</c:f>
              <c:numCache>
                <c:formatCode>0.0</c:formatCode>
                <c:ptCount val="2"/>
                <c:pt idx="0">
                  <c:v>6.5185185185185182</c:v>
                </c:pt>
                <c:pt idx="1">
                  <c:v>10.152777777777777</c:v>
                </c:pt>
              </c:numCache>
            </c:numRef>
          </c:yVal>
          <c:extLst xmlns:c16r2="http://schemas.microsoft.com/office/drawing/2015/06/chart">
            <c:ext xmlns:c16="http://schemas.microsoft.com/office/drawing/2014/chart" uri="{C3380CC4-5D6E-409C-BE32-E72D297353CC}">
              <c16:uniqueId val="{00000000-7CB6-46C1-A1BE-AB69202BB9ED}"/>
            </c:ext>
          </c:extLst>
        </c:ser>
        <c:axId val="114243072"/>
        <c:axId val="114244608"/>
      </c:scatterChart>
      <c:valAx>
        <c:axId val="114243072"/>
        <c:scaling>
          <c:orientation val="minMax"/>
          <c:max val="30"/>
          <c:min val="10"/>
        </c:scaling>
        <c:axPos val="b"/>
        <c:majorGridlines>
          <c:spPr>
            <a:ln w="9525" cap="flat" cmpd="sng" algn="ctr">
              <a:solidFill>
                <a:schemeClr val="tx1">
                  <a:lumMod val="15000"/>
                  <a:lumOff val="85000"/>
                </a:schemeClr>
              </a:solidFill>
              <a:round/>
            </a:ln>
            <a:effectLst/>
          </c:spPr>
        </c:majorGridlines>
        <c:numFmt formatCode="#,#00\ \°\C" sourceLinked="0"/>
        <c:maj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14244608"/>
        <c:crosses val="autoZero"/>
        <c:crossBetween val="midCat"/>
        <c:majorUnit val="10"/>
      </c:valAx>
      <c:valAx>
        <c:axId val="114244608"/>
        <c:scaling>
          <c:orientation val="minMax"/>
        </c:scaling>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COP</a:t>
                </a:r>
              </a:p>
            </c:rich>
          </c:tx>
          <c:layout>
            <c:manualLayout>
              <c:xMode val="edge"/>
              <c:yMode val="edge"/>
              <c:x val="4.4208664898320333E-3"/>
              <c:y val="0.34012599983431374"/>
            </c:manualLayout>
          </c:layout>
          <c:spPr>
            <a:noFill/>
            <a:ln>
              <a:noFill/>
            </a:ln>
            <a:effectLst/>
          </c:spPr>
        </c:title>
        <c:numFmt formatCode="0.0" sourceLinked="1"/>
        <c:maj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14243072"/>
        <c:crosses val="autoZero"/>
        <c:crossBetween val="midCat"/>
      </c:valAx>
      <c:spPr>
        <a:noFill/>
        <a:ln>
          <a:noFill/>
        </a:ln>
        <a:effectLst/>
      </c:spPr>
    </c:plotArea>
    <c:plotVisOnly val="1"/>
    <c:dispBlanksAs val="gap"/>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0000000000000062" r="0.70000000000000062" t="0.78740157499999996"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de-DE"/>
  <c:chart>
    <c:autoTitleDeleted val="1"/>
    <c:plotArea>
      <c:layout>
        <c:manualLayout>
          <c:layoutTarget val="inner"/>
          <c:xMode val="edge"/>
          <c:yMode val="edge"/>
          <c:x val="0.17318378969207096"/>
          <c:y val="0.10816134234652092"/>
          <c:w val="0.75802752772614312"/>
          <c:h val="0.6912160137628921"/>
        </c:manualLayout>
      </c:layout>
      <c:scatterChart>
        <c:scatterStyle val="lineMarker"/>
        <c:ser>
          <c:idx val="0"/>
          <c:order val="0"/>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forward val="5"/>
            <c:backward val="5"/>
          </c:trendline>
          <c:xVal>
            <c:numRef>
              <c:f>Hilfsdaten!$J$25:$K$25</c:f>
              <c:numCache>
                <c:formatCode>0</c:formatCode>
                <c:ptCount val="2"/>
                <c:pt idx="0">
                  <c:v>15</c:v>
                </c:pt>
                <c:pt idx="1">
                  <c:v>26</c:v>
                </c:pt>
              </c:numCache>
            </c:numRef>
          </c:xVal>
          <c:yVal>
            <c:numRef>
              <c:f>Hilfsdaten!$B$25:$C$25</c:f>
              <c:numCache>
                <c:formatCode>0.0</c:formatCode>
                <c:ptCount val="2"/>
                <c:pt idx="0">
                  <c:v>8</c:v>
                </c:pt>
                <c:pt idx="1">
                  <c:v>16.071428571428569</c:v>
                </c:pt>
              </c:numCache>
            </c:numRef>
          </c:yVal>
          <c:extLst xmlns:c16r2="http://schemas.microsoft.com/office/drawing/2015/06/chart">
            <c:ext xmlns:c16="http://schemas.microsoft.com/office/drawing/2014/chart" uri="{C3380CC4-5D6E-409C-BE32-E72D297353CC}">
              <c16:uniqueId val="{00000000-7CB6-46C1-A1BE-AB69202BB9ED}"/>
            </c:ext>
          </c:extLst>
        </c:ser>
        <c:axId val="115387392"/>
        <c:axId val="115413760"/>
      </c:scatterChart>
      <c:valAx>
        <c:axId val="115387392"/>
        <c:scaling>
          <c:orientation val="minMax"/>
          <c:max val="30"/>
          <c:min val="10"/>
        </c:scaling>
        <c:axPos val="b"/>
        <c:majorGridlines>
          <c:spPr>
            <a:ln w="9525" cap="flat" cmpd="sng" algn="ctr">
              <a:solidFill>
                <a:schemeClr val="tx1">
                  <a:lumMod val="15000"/>
                  <a:lumOff val="85000"/>
                </a:schemeClr>
              </a:solidFill>
              <a:round/>
            </a:ln>
            <a:effectLst/>
          </c:spPr>
        </c:majorGridlines>
        <c:numFmt formatCode="#,#00\ \°\C" sourceLinked="0"/>
        <c:maj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15413760"/>
        <c:crosses val="autoZero"/>
        <c:crossBetween val="midCat"/>
        <c:majorUnit val="10"/>
      </c:valAx>
      <c:valAx>
        <c:axId val="115413760"/>
        <c:scaling>
          <c:orientation val="minMax"/>
        </c:scaling>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COP</a:t>
                </a:r>
              </a:p>
            </c:rich>
          </c:tx>
          <c:layout>
            <c:manualLayout>
              <c:xMode val="edge"/>
              <c:yMode val="edge"/>
              <c:x val="4.4208664898320359E-3"/>
              <c:y val="0.34012599983431391"/>
            </c:manualLayout>
          </c:layout>
          <c:spPr>
            <a:noFill/>
            <a:ln>
              <a:noFill/>
            </a:ln>
            <a:effectLst/>
          </c:spPr>
        </c:title>
        <c:numFmt formatCode="0.0" sourceLinked="1"/>
        <c:maj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15387392"/>
        <c:crosses val="autoZero"/>
        <c:crossBetween val="midCat"/>
      </c:valAx>
      <c:spPr>
        <a:noFill/>
        <a:ln>
          <a:noFill/>
        </a:ln>
        <a:effectLst/>
      </c:spPr>
    </c:plotArea>
    <c:plotVisOnly val="1"/>
    <c:dispBlanksAs val="gap"/>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0000000000000062" r="0.70000000000000062" t="0.78740157499999996" header="0.30000000000000032" footer="0.30000000000000032"/>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1</xdr:col>
      <xdr:colOff>97155</xdr:colOff>
      <xdr:row>14</xdr:row>
      <xdr:rowOff>142875</xdr:rowOff>
    </xdr:from>
    <xdr:to>
      <xdr:col>3</xdr:col>
      <xdr:colOff>668655</xdr:colOff>
      <xdr:row>20</xdr:row>
      <xdr:rowOff>110489</xdr:rowOff>
    </xdr:to>
    <xdr:graphicFrame macro="">
      <xdr:nvGraphicFramePr>
        <xdr:cNvPr id="4" name="Diagramm 3">
          <a:extLst>
            <a:ext uri="{FF2B5EF4-FFF2-40B4-BE49-F238E27FC236}">
              <a16:creationId xmlns:a16="http://schemas.microsoft.com/office/drawing/2014/main" xmlns="" id="{31FD9AD0-5578-41F2-A030-A01DD5AD758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104775</xdr:colOff>
      <xdr:row>14</xdr:row>
      <xdr:rowOff>142875</xdr:rowOff>
    </xdr:from>
    <xdr:to>
      <xdr:col>7</xdr:col>
      <xdr:colOff>628650</xdr:colOff>
      <xdr:row>20</xdr:row>
      <xdr:rowOff>110489</xdr:rowOff>
    </xdr:to>
    <xdr:graphicFrame macro="">
      <xdr:nvGraphicFramePr>
        <xdr:cNvPr id="3" name="Diagramm 2">
          <a:extLst>
            <a:ext uri="{FF2B5EF4-FFF2-40B4-BE49-F238E27FC236}">
              <a16:creationId xmlns:a16="http://schemas.microsoft.com/office/drawing/2014/main" xmlns="" id="{31FD9AD0-5578-41F2-A030-A01DD5AD758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85725</xdr:colOff>
      <xdr:row>14</xdr:row>
      <xdr:rowOff>142875</xdr:rowOff>
    </xdr:from>
    <xdr:to>
      <xdr:col>11</xdr:col>
      <xdr:colOff>609600</xdr:colOff>
      <xdr:row>20</xdr:row>
      <xdr:rowOff>110489</xdr:rowOff>
    </xdr:to>
    <xdr:graphicFrame macro="">
      <xdr:nvGraphicFramePr>
        <xdr:cNvPr id="5" name="Diagramm 4">
          <a:extLst>
            <a:ext uri="{FF2B5EF4-FFF2-40B4-BE49-F238E27FC236}">
              <a16:creationId xmlns:a16="http://schemas.microsoft.com/office/drawing/2014/main" xmlns="" id="{31FD9AD0-5578-41F2-A030-A01DD5AD758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49596</xdr:colOff>
      <xdr:row>0</xdr:row>
      <xdr:rowOff>84522</xdr:rowOff>
    </xdr:from>
    <xdr:to>
      <xdr:col>9</xdr:col>
      <xdr:colOff>352425</xdr:colOff>
      <xdr:row>5</xdr:row>
      <xdr:rowOff>158751</xdr:rowOff>
    </xdr:to>
    <xdr:sp macro="" textlink="">
      <xdr:nvSpPr>
        <xdr:cNvPr id="2" name="Rechteck 1">
          <a:extLst>
            <a:ext uri="{FF2B5EF4-FFF2-40B4-BE49-F238E27FC236}">
              <a16:creationId xmlns:a16="http://schemas.microsoft.com/office/drawing/2014/main" xmlns="" id="{396EFE7F-7240-4AE8-B3AC-88CEE20B54CE}"/>
            </a:ext>
          </a:extLst>
        </xdr:cNvPr>
        <xdr:cNvSpPr/>
      </xdr:nvSpPr>
      <xdr:spPr>
        <a:xfrm>
          <a:off x="11193846" y="84522"/>
          <a:ext cx="4874829" cy="120770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de-DE" sz="1100"/>
        </a:p>
      </xdr:txBody>
    </xdr:sp>
    <xdr:clientData/>
  </xdr:twoCellAnchor>
  <xdr:twoCellAnchor>
    <xdr:from>
      <xdr:col>4</xdr:col>
      <xdr:colOff>495301</xdr:colOff>
      <xdr:row>12</xdr:row>
      <xdr:rowOff>38100</xdr:rowOff>
    </xdr:from>
    <xdr:to>
      <xdr:col>7</xdr:col>
      <xdr:colOff>790576</xdr:colOff>
      <xdr:row>17</xdr:row>
      <xdr:rowOff>150774</xdr:rowOff>
    </xdr:to>
    <xdr:sp macro="" textlink="">
      <xdr:nvSpPr>
        <xdr:cNvPr id="3" name="Ellipse 2">
          <a:extLst>
            <a:ext uri="{FF2B5EF4-FFF2-40B4-BE49-F238E27FC236}">
              <a16:creationId xmlns:a16="http://schemas.microsoft.com/office/drawing/2014/main" xmlns="" id="{BEC4E862-3886-44AB-821D-D989FE3BD156}"/>
            </a:ext>
          </a:extLst>
        </xdr:cNvPr>
        <xdr:cNvSpPr/>
      </xdr:nvSpPr>
      <xdr:spPr>
        <a:xfrm>
          <a:off x="4095751" y="2324100"/>
          <a:ext cx="2952750" cy="1065174"/>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de-DE" sz="1100"/>
        </a:p>
      </xdr:txBody>
    </xdr:sp>
    <xdr:clientData/>
  </xdr:twoCellAnchor>
  <xdr:twoCellAnchor>
    <xdr:from>
      <xdr:col>3</xdr:col>
      <xdr:colOff>43414</xdr:colOff>
      <xdr:row>6</xdr:row>
      <xdr:rowOff>68170</xdr:rowOff>
    </xdr:from>
    <xdr:to>
      <xdr:col>9</xdr:col>
      <xdr:colOff>351631</xdr:colOff>
      <xdr:row>11</xdr:row>
      <xdr:rowOff>142399</xdr:rowOff>
    </xdr:to>
    <xdr:grpSp>
      <xdr:nvGrpSpPr>
        <xdr:cNvPr id="4" name="Gruppieren 3">
          <a:extLst>
            <a:ext uri="{FF2B5EF4-FFF2-40B4-BE49-F238E27FC236}">
              <a16:creationId xmlns:a16="http://schemas.microsoft.com/office/drawing/2014/main" xmlns="" id="{ACB6287F-8FDB-4FF9-9325-3A4A07D5D29A}"/>
            </a:ext>
          </a:extLst>
        </xdr:cNvPr>
        <xdr:cNvGrpSpPr/>
      </xdr:nvGrpSpPr>
      <xdr:grpSpPr>
        <a:xfrm>
          <a:off x="2758039" y="1211170"/>
          <a:ext cx="5623167" cy="1026729"/>
          <a:chOff x="11552789" y="1433420"/>
          <a:chExt cx="2594217" cy="1185479"/>
        </a:xfrm>
      </xdr:grpSpPr>
      <xdr:sp macro="" textlink="">
        <xdr:nvSpPr>
          <xdr:cNvPr id="5" name="Ellipse 4">
            <a:extLst>
              <a:ext uri="{FF2B5EF4-FFF2-40B4-BE49-F238E27FC236}">
                <a16:creationId xmlns:a16="http://schemas.microsoft.com/office/drawing/2014/main" xmlns="" id="{52985D4A-B95A-41C6-9A04-168D69FA44AA}"/>
              </a:ext>
            </a:extLst>
          </xdr:cNvPr>
          <xdr:cNvSpPr/>
        </xdr:nvSpPr>
        <xdr:spPr>
          <a:xfrm>
            <a:off x="12962606" y="1433959"/>
            <a:ext cx="1184400" cy="118440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de-DE" sz="1100"/>
          </a:p>
        </xdr:txBody>
      </xdr:sp>
      <xdr:sp macro="" textlink="">
        <xdr:nvSpPr>
          <xdr:cNvPr id="6" name="Ellipse 5">
            <a:extLst>
              <a:ext uri="{FF2B5EF4-FFF2-40B4-BE49-F238E27FC236}">
                <a16:creationId xmlns:a16="http://schemas.microsoft.com/office/drawing/2014/main" xmlns="" id="{FAEDAB37-E035-4421-90C3-9388BA461F0C}"/>
              </a:ext>
            </a:extLst>
          </xdr:cNvPr>
          <xdr:cNvSpPr/>
        </xdr:nvSpPr>
        <xdr:spPr>
          <a:xfrm>
            <a:off x="11552789" y="1433959"/>
            <a:ext cx="1184400" cy="118440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de-DE" sz="1100"/>
          </a:p>
        </xdr:txBody>
      </xdr:sp>
      <xdr:sp macro="" textlink="">
        <xdr:nvSpPr>
          <xdr:cNvPr id="7" name="Rechteck 6">
            <a:extLst>
              <a:ext uri="{FF2B5EF4-FFF2-40B4-BE49-F238E27FC236}">
                <a16:creationId xmlns:a16="http://schemas.microsoft.com/office/drawing/2014/main" xmlns="" id="{1256DE64-EB30-4C2B-A434-4F59004B4877}"/>
              </a:ext>
            </a:extLst>
          </xdr:cNvPr>
          <xdr:cNvSpPr/>
        </xdr:nvSpPr>
        <xdr:spPr>
          <a:xfrm>
            <a:off x="12215813" y="1433420"/>
            <a:ext cx="1254126" cy="118547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de-DE" sz="1100"/>
          </a:p>
        </xdr:txBody>
      </xdr:sp>
    </xdr:grpSp>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www.laenderdaten.info/Europa/Deutschland/sonnenuntergang.php" TargetMode="External"/><Relationship Id="rId1" Type="http://schemas.openxmlformats.org/officeDocument/2006/relationships/hyperlink" Target="https://www.worldweatheronline.com/" TargetMode="Externa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sheetPr codeName="Tabelle1"/>
  <dimension ref="B2:N37"/>
  <sheetViews>
    <sheetView tabSelected="1" workbookViewId="0">
      <selection activeCell="D12" sqref="D12"/>
    </sheetView>
  </sheetViews>
  <sheetFormatPr baseColWidth="10" defaultRowHeight="15"/>
  <cols>
    <col min="1" max="1" width="6.7109375" style="1" customWidth="1"/>
    <col min="2" max="2" width="11.42578125" style="1"/>
    <col min="3" max="3" width="5.5703125" style="1" customWidth="1"/>
    <col min="4" max="4" width="57" style="1" customWidth="1"/>
    <col min="5" max="7" width="11.42578125" style="1"/>
    <col min="8" max="8" width="5.28515625" style="1" customWidth="1"/>
    <col min="9" max="16384" width="11.42578125" style="1"/>
  </cols>
  <sheetData>
    <row r="2" spans="2:14">
      <c r="B2" s="6" t="s">
        <v>3</v>
      </c>
    </row>
    <row r="3" spans="2:14" ht="7.5" customHeight="1"/>
    <row r="4" spans="2:14">
      <c r="B4" s="7" t="s">
        <v>2</v>
      </c>
      <c r="D4" s="1" t="s">
        <v>1</v>
      </c>
    </row>
    <row r="5" spans="2:14" ht="7.5" customHeight="1"/>
    <row r="6" spans="2:14">
      <c r="B6" s="5" t="s">
        <v>5</v>
      </c>
      <c r="D6" s="1" t="s">
        <v>4</v>
      </c>
    </row>
    <row r="7" spans="2:14" ht="7.5" customHeight="1"/>
    <row r="8" spans="2:14">
      <c r="B8" s="4" t="s">
        <v>5</v>
      </c>
      <c r="D8" s="1" t="s">
        <v>6</v>
      </c>
    </row>
    <row r="10" spans="2:14">
      <c r="B10" s="6" t="s">
        <v>13</v>
      </c>
      <c r="C10" s="16">
        <f>MAX(C27:C1000)</f>
        <v>2</v>
      </c>
    </row>
    <row r="12" spans="2:14">
      <c r="B12" s="6" t="s">
        <v>50</v>
      </c>
    </row>
    <row r="13" spans="2:14" ht="7.5" customHeight="1"/>
    <row r="14" spans="2:14" ht="15" customHeight="1">
      <c r="B14" s="154" t="s">
        <v>14</v>
      </c>
      <c r="C14" s="155"/>
      <c r="D14" s="155"/>
      <c r="E14" s="155"/>
      <c r="F14" s="155"/>
      <c r="G14" s="156"/>
      <c r="I14" s="160" t="s">
        <v>7</v>
      </c>
      <c r="J14" s="160"/>
      <c r="K14" s="160"/>
      <c r="L14" s="160"/>
      <c r="M14" s="14"/>
      <c r="N14" s="15"/>
    </row>
    <row r="15" spans="2:14">
      <c r="B15" s="157"/>
      <c r="C15" s="158"/>
      <c r="D15" s="158"/>
      <c r="E15" s="158"/>
      <c r="F15" s="158"/>
      <c r="G15" s="159"/>
      <c r="I15" s="160"/>
      <c r="J15" s="160"/>
      <c r="K15" s="160"/>
      <c r="L15" s="160"/>
      <c r="M15" s="14"/>
      <c r="N15" s="15"/>
    </row>
    <row r="16" spans="2:14">
      <c r="I16" s="160"/>
      <c r="J16" s="160"/>
      <c r="K16" s="160"/>
      <c r="L16" s="160"/>
      <c r="M16" s="14"/>
      <c r="N16" s="15"/>
    </row>
    <row r="17" spans="2:14" ht="15" customHeight="1">
      <c r="B17" s="154" t="s">
        <v>84</v>
      </c>
      <c r="C17" s="155"/>
      <c r="D17" s="155"/>
      <c r="E17" s="155"/>
      <c r="F17" s="155"/>
      <c r="G17" s="156"/>
      <c r="I17" s="160"/>
      <c r="J17" s="160"/>
      <c r="K17" s="160"/>
      <c r="L17" s="160"/>
      <c r="M17" s="14"/>
      <c r="N17" s="15"/>
    </row>
    <row r="18" spans="2:14" ht="15" customHeight="1">
      <c r="B18" s="157"/>
      <c r="C18" s="158"/>
      <c r="D18" s="158"/>
      <c r="E18" s="158"/>
      <c r="F18" s="158"/>
      <c r="G18" s="159"/>
      <c r="I18" s="160"/>
      <c r="J18" s="160"/>
      <c r="K18" s="160"/>
      <c r="L18" s="160"/>
      <c r="M18" s="14"/>
      <c r="N18" s="15"/>
    </row>
    <row r="19" spans="2:14">
      <c r="I19" s="160"/>
      <c r="J19" s="160"/>
      <c r="K19" s="160"/>
      <c r="L19" s="160"/>
      <c r="M19" s="14"/>
      <c r="N19" s="15"/>
    </row>
    <row r="20" spans="2:14" ht="15" customHeight="1">
      <c r="B20" s="154" t="s">
        <v>104</v>
      </c>
      <c r="C20" s="155"/>
      <c r="D20" s="155"/>
      <c r="E20" s="155"/>
      <c r="F20" s="155"/>
      <c r="G20" s="156"/>
      <c r="I20" s="160"/>
      <c r="J20" s="160"/>
      <c r="K20" s="160"/>
      <c r="L20" s="160"/>
      <c r="M20" s="14"/>
      <c r="N20" s="15"/>
    </row>
    <row r="21" spans="2:14" ht="15" customHeight="1">
      <c r="B21" s="157"/>
      <c r="C21" s="158"/>
      <c r="D21" s="158"/>
      <c r="E21" s="158"/>
      <c r="F21" s="158"/>
      <c r="G21" s="159"/>
      <c r="I21" s="160"/>
      <c r="J21" s="160"/>
      <c r="K21" s="160"/>
      <c r="L21" s="160"/>
      <c r="M21" s="14"/>
      <c r="N21" s="15"/>
    </row>
    <row r="24" spans="2:14">
      <c r="B24" s="8" t="s">
        <v>8</v>
      </c>
    </row>
    <row r="26" spans="2:14">
      <c r="B26" s="9" t="s">
        <v>9</v>
      </c>
      <c r="C26" s="10" t="s">
        <v>12</v>
      </c>
      <c r="D26" s="11" t="s">
        <v>10</v>
      </c>
    </row>
    <row r="27" spans="2:14">
      <c r="B27" s="12">
        <v>44457</v>
      </c>
      <c r="C27" s="13">
        <v>1</v>
      </c>
      <c r="D27" s="1" t="s">
        <v>11</v>
      </c>
    </row>
    <row r="28" spans="2:14">
      <c r="B28" s="12">
        <v>44459</v>
      </c>
      <c r="C28" s="13">
        <v>2</v>
      </c>
      <c r="D28" s="3" t="s">
        <v>120</v>
      </c>
    </row>
    <row r="29" spans="2:14">
      <c r="B29" s="12"/>
      <c r="C29" s="13"/>
      <c r="D29" s="3"/>
    </row>
    <row r="30" spans="2:14">
      <c r="B30" s="12"/>
      <c r="C30" s="13"/>
    </row>
    <row r="31" spans="2:14">
      <c r="C31" s="13"/>
    </row>
    <row r="32" spans="2:14">
      <c r="C32" s="13"/>
    </row>
    <row r="33" spans="3:3">
      <c r="C33" s="13"/>
    </row>
    <row r="34" spans="3:3">
      <c r="C34" s="13"/>
    </row>
    <row r="35" spans="3:3">
      <c r="C35" s="13"/>
    </row>
    <row r="36" spans="3:3">
      <c r="C36" s="13"/>
    </row>
    <row r="37" spans="3:3">
      <c r="C37" s="13"/>
    </row>
  </sheetData>
  <mergeCells count="4">
    <mergeCell ref="B14:G15"/>
    <mergeCell ref="B17:G18"/>
    <mergeCell ref="B20:G21"/>
    <mergeCell ref="I14:L21"/>
  </mergeCells>
  <hyperlinks>
    <hyperlink ref="B14:G15" location="Dateneingabe!A1" display="1. Dateneingabe"/>
    <hyperlink ref="B17:G18" location="Wärmepumpe!A1" display="2. Berechnung Wärmepumpen"/>
    <hyperlink ref="B20:G21" location="Solarabsorber!A1" display="3. Berechnung Solarabsorber"/>
  </hyperlinks>
  <pageMargins left="0.7" right="0.7" top="0.78740157499999996" bottom="0.78740157499999996" header="0.3" footer="0.3"/>
  <pageSetup paperSize="9" orientation="landscape" r:id="rId1"/>
  <headerFooter>
    <oddFooter>&amp;C&amp;1#&amp;"Arial"&amp;10&amp;K000000Internal</oddFooter>
  </headerFooter>
</worksheet>
</file>

<file path=xl/worksheets/sheet2.xml><?xml version="1.0" encoding="utf-8"?>
<worksheet xmlns="http://schemas.openxmlformats.org/spreadsheetml/2006/main" xmlns:r="http://schemas.openxmlformats.org/officeDocument/2006/relationships">
  <sheetPr codeName="Tabelle2">
    <pageSetUpPr fitToPage="1"/>
  </sheetPr>
  <dimension ref="B1:AE50"/>
  <sheetViews>
    <sheetView workbookViewId="0">
      <selection activeCell="U2" sqref="U2:V2"/>
    </sheetView>
  </sheetViews>
  <sheetFormatPr baseColWidth="10" defaultRowHeight="17.25" customHeight="1"/>
  <cols>
    <col min="1" max="1" width="2.7109375" style="1" customWidth="1"/>
    <col min="2" max="2" width="12.85546875" style="1" customWidth="1"/>
    <col min="3" max="5" width="9.7109375" style="1" customWidth="1"/>
    <col min="6" max="6" width="11.42578125" style="1" customWidth="1"/>
    <col min="7" max="7" width="9.7109375" style="1" customWidth="1"/>
    <col min="8" max="8" width="6" style="1" customWidth="1"/>
    <col min="9" max="9" width="5.5703125" style="1" customWidth="1"/>
    <col min="10" max="16" width="5.7109375" style="1" customWidth="1"/>
    <col min="17" max="17" width="2.28515625" style="1" customWidth="1"/>
    <col min="18" max="19" width="5.5703125" style="1" customWidth="1"/>
    <col min="20" max="20" width="2.5703125" style="1" customWidth="1"/>
    <col min="32" max="16384" width="11.42578125" style="1"/>
  </cols>
  <sheetData>
    <row r="1" spans="2:28" ht="10.5" customHeight="1" thickBot="1"/>
    <row r="2" spans="2:28" ht="20.25" customHeight="1" thickBot="1">
      <c r="B2" s="45" t="s">
        <v>15</v>
      </c>
      <c r="C2" s="33"/>
      <c r="D2" s="33"/>
      <c r="E2" s="33"/>
      <c r="F2" s="33"/>
      <c r="G2" s="36"/>
      <c r="I2" s="176" t="s">
        <v>48</v>
      </c>
      <c r="J2" s="177"/>
      <c r="K2" s="177"/>
      <c r="L2" s="177"/>
      <c r="M2" s="177"/>
      <c r="N2" s="177"/>
      <c r="O2" s="177"/>
      <c r="P2" s="177"/>
      <c r="Q2" s="177"/>
      <c r="R2" s="177"/>
      <c r="S2" s="178"/>
      <c r="U2" s="170" t="s">
        <v>51</v>
      </c>
      <c r="V2" s="171"/>
    </row>
    <row r="3" spans="2:28" ht="17.25" customHeight="1">
      <c r="B3" s="37"/>
      <c r="C3" s="2"/>
      <c r="D3" s="2"/>
      <c r="E3" s="2"/>
      <c r="F3" s="2"/>
      <c r="G3" s="39"/>
      <c r="I3" s="56"/>
      <c r="J3" s="57"/>
      <c r="K3" s="57"/>
      <c r="L3" s="57"/>
      <c r="M3" s="57"/>
      <c r="N3" s="57"/>
      <c r="O3" s="57"/>
      <c r="P3" s="57"/>
      <c r="Q3" s="57"/>
      <c r="R3" s="57"/>
      <c r="S3" s="58"/>
    </row>
    <row r="4" spans="2:28" ht="17.25" customHeight="1">
      <c r="B4" s="37" t="s">
        <v>16</v>
      </c>
      <c r="C4" s="7">
        <v>6</v>
      </c>
      <c r="D4" s="2" t="s">
        <v>27</v>
      </c>
      <c r="E4" s="2"/>
      <c r="F4" s="2"/>
      <c r="G4" s="39"/>
      <c r="I4" s="56"/>
      <c r="J4" s="175"/>
      <c r="K4" s="175"/>
      <c r="L4" s="175"/>
      <c r="M4" s="175"/>
      <c r="N4" s="175"/>
      <c r="O4" s="175"/>
      <c r="P4" s="175"/>
      <c r="Q4" s="31"/>
      <c r="R4" s="59" t="s">
        <v>32</v>
      </c>
      <c r="S4" s="58"/>
    </row>
    <row r="5" spans="2:28" ht="17.25" customHeight="1">
      <c r="B5" s="37" t="s">
        <v>17</v>
      </c>
      <c r="C5" s="7">
        <v>3.2</v>
      </c>
      <c r="D5" s="2" t="s">
        <v>27</v>
      </c>
      <c r="E5" s="2"/>
      <c r="F5" s="2"/>
      <c r="G5" s="39"/>
      <c r="I5" s="56"/>
      <c r="J5" s="175"/>
      <c r="K5" s="175"/>
      <c r="L5" s="175"/>
      <c r="M5" s="175"/>
      <c r="N5" s="175"/>
      <c r="O5" s="175"/>
      <c r="P5" s="175"/>
      <c r="Q5" s="31"/>
      <c r="R5" s="57"/>
      <c r="S5" s="58"/>
    </row>
    <row r="6" spans="2:28" ht="17.25" customHeight="1">
      <c r="B6" s="37" t="s">
        <v>28</v>
      </c>
      <c r="C6" s="7">
        <v>1.3</v>
      </c>
      <c r="D6" s="2" t="s">
        <v>27</v>
      </c>
      <c r="E6" s="2"/>
      <c r="F6" s="2"/>
      <c r="G6" s="39"/>
      <c r="I6" s="56"/>
      <c r="J6" s="175"/>
      <c r="K6" s="175"/>
      <c r="L6" s="175"/>
      <c r="M6" s="175"/>
      <c r="N6" s="175"/>
      <c r="O6" s="175"/>
      <c r="P6" s="175"/>
      <c r="Q6" s="31"/>
      <c r="R6" s="172">
        <f>IF(C8=Hilfsdaten!A4,C4,C5)</f>
        <v>3.2</v>
      </c>
      <c r="S6" s="58"/>
    </row>
    <row r="7" spans="2:28" ht="17.25" customHeight="1">
      <c r="B7" s="37"/>
      <c r="C7" s="2"/>
      <c r="D7" s="2"/>
      <c r="E7" s="2"/>
      <c r="F7" s="2"/>
      <c r="G7" s="39"/>
      <c r="I7" s="56"/>
      <c r="J7" s="175"/>
      <c r="K7" s="175"/>
      <c r="L7" s="175"/>
      <c r="M7" s="175"/>
      <c r="N7" s="175"/>
      <c r="O7" s="175"/>
      <c r="P7" s="175"/>
      <c r="Q7" s="31"/>
      <c r="R7" s="173"/>
      <c r="S7" s="58"/>
    </row>
    <row r="8" spans="2:28" ht="17.25" customHeight="1">
      <c r="B8" s="37" t="s">
        <v>18</v>
      </c>
      <c r="C8" s="174" t="s">
        <v>19</v>
      </c>
      <c r="D8" s="174"/>
      <c r="E8" s="2"/>
      <c r="F8" s="2"/>
      <c r="G8" s="39"/>
      <c r="I8" s="56"/>
      <c r="J8" s="175"/>
      <c r="K8" s="175"/>
      <c r="L8" s="175"/>
      <c r="M8" s="175"/>
      <c r="N8" s="175"/>
      <c r="O8" s="175"/>
      <c r="P8" s="175"/>
      <c r="Q8" s="31"/>
      <c r="R8" s="57"/>
      <c r="S8" s="58"/>
    </row>
    <row r="9" spans="2:28" ht="17.25" customHeight="1" thickBot="1">
      <c r="B9" s="37"/>
      <c r="C9" s="2"/>
      <c r="D9" s="2"/>
      <c r="E9" s="2"/>
      <c r="F9" s="2"/>
      <c r="G9" s="39"/>
      <c r="I9" s="56"/>
      <c r="J9" s="175"/>
      <c r="K9" s="175"/>
      <c r="L9" s="175"/>
      <c r="M9" s="175"/>
      <c r="N9" s="175"/>
      <c r="O9" s="175"/>
      <c r="P9" s="175"/>
      <c r="Q9" s="31"/>
      <c r="R9" s="60" t="s">
        <v>33</v>
      </c>
      <c r="S9" s="58"/>
    </row>
    <row r="10" spans="2:28" ht="17.25" customHeight="1">
      <c r="B10" s="32" t="s">
        <v>22</v>
      </c>
      <c r="C10" s="33"/>
      <c r="D10" s="34" t="s">
        <v>24</v>
      </c>
      <c r="E10" s="35">
        <f>IF(C8=Hilfsdaten!A2,C4*C5,IF(C8=Hilfsdaten!A3,PI()/4*C5^2+((C4-C5)*C5),IF(C8=Hilfsdaten!A4,PI()/4*C4^2,"Fehler")))</f>
        <v>17.002477193189868</v>
      </c>
      <c r="F10" s="33" t="s">
        <v>29</v>
      </c>
      <c r="G10" s="36"/>
      <c r="I10" s="56"/>
      <c r="J10" s="57"/>
      <c r="K10" s="57"/>
      <c r="L10" s="61" t="s">
        <v>30</v>
      </c>
      <c r="M10" s="62">
        <f>C4-C5</f>
        <v>2.8</v>
      </c>
      <c r="N10" s="63" t="s">
        <v>31</v>
      </c>
      <c r="O10" s="57"/>
      <c r="P10" s="57"/>
      <c r="Q10" s="57"/>
      <c r="R10" s="57"/>
      <c r="S10" s="58"/>
    </row>
    <row r="11" spans="2:28" ht="17.25" customHeight="1">
      <c r="B11" s="37" t="s">
        <v>23</v>
      </c>
      <c r="C11" s="2"/>
      <c r="D11" s="38" t="s">
        <v>25</v>
      </c>
      <c r="E11" s="24">
        <f>IF(C8=Hilfsdaten!A2,(C4*C6+C5*C6)*2,IF(C8=Hilfsdaten!A3,(PI()*C5*C6)+((C4-C5)*C6*2),IF(C8=Hilfsdaten!A4,PI()*C4*C6,"Fehler")))</f>
        <v>20.349025438933538</v>
      </c>
      <c r="F11" s="2" t="s">
        <v>29</v>
      </c>
      <c r="G11" s="39"/>
      <c r="I11" s="56"/>
      <c r="J11" s="61" t="s">
        <v>30</v>
      </c>
      <c r="K11" s="57"/>
      <c r="L11" s="61" t="s">
        <v>30</v>
      </c>
      <c r="M11" s="62">
        <f>C4</f>
        <v>6</v>
      </c>
      <c r="N11" s="63" t="s">
        <v>31</v>
      </c>
      <c r="O11" s="57"/>
      <c r="P11" s="63" t="s">
        <v>31</v>
      </c>
      <c r="Q11" s="64"/>
      <c r="R11" s="57"/>
      <c r="S11" s="58"/>
    </row>
    <row r="12" spans="2:28" ht="17.25" customHeight="1" thickBot="1">
      <c r="B12" s="40" t="s">
        <v>52</v>
      </c>
      <c r="C12" s="41"/>
      <c r="D12" s="42" t="s">
        <v>26</v>
      </c>
      <c r="E12" s="43">
        <f>IF(E10="Fehler","Fehler",E10*C6)</f>
        <v>22.103220351146831</v>
      </c>
      <c r="F12" s="41" t="s">
        <v>0</v>
      </c>
      <c r="G12" s="44"/>
      <c r="I12" s="65"/>
      <c r="J12" s="66"/>
      <c r="K12" s="66"/>
      <c r="L12" s="66"/>
      <c r="M12" s="66"/>
      <c r="N12" s="66"/>
      <c r="O12" s="66"/>
      <c r="P12" s="66"/>
      <c r="Q12" s="66"/>
      <c r="R12" s="66"/>
      <c r="S12" s="67"/>
    </row>
    <row r="13" spans="2:28" ht="17.25" customHeight="1" thickBot="1"/>
    <row r="14" spans="2:28" ht="17.25" customHeight="1" thickBot="1">
      <c r="B14" s="46" t="s">
        <v>40</v>
      </c>
      <c r="C14" s="47"/>
      <c r="D14" s="47"/>
      <c r="E14" s="47"/>
      <c r="F14" s="47"/>
      <c r="G14" s="48"/>
      <c r="H14" s="17"/>
      <c r="I14" s="161" t="s">
        <v>103</v>
      </c>
      <c r="J14" s="162"/>
      <c r="K14" s="162"/>
      <c r="L14" s="162"/>
      <c r="M14" s="162"/>
      <c r="N14" s="162"/>
      <c r="O14" s="162"/>
      <c r="P14" s="162"/>
      <c r="Q14" s="162"/>
      <c r="R14" s="162"/>
      <c r="S14" s="163"/>
      <c r="U14" s="1" t="s">
        <v>81</v>
      </c>
      <c r="V14" s="204" t="s">
        <v>82</v>
      </c>
      <c r="W14" s="204"/>
      <c r="X14" s="204"/>
      <c r="Y14" s="204"/>
      <c r="Z14" s="204"/>
      <c r="AA14" s="204"/>
      <c r="AB14" s="204"/>
    </row>
    <row r="15" spans="2:28" ht="33.75" customHeight="1" thickBot="1">
      <c r="B15" s="18" t="s">
        <v>34</v>
      </c>
      <c r="C15" s="26" t="s">
        <v>43</v>
      </c>
      <c r="D15" s="27" t="s">
        <v>44</v>
      </c>
      <c r="E15" s="27" t="s">
        <v>46</v>
      </c>
      <c r="F15" s="27" t="s">
        <v>45</v>
      </c>
      <c r="G15" s="25" t="s">
        <v>47</v>
      </c>
      <c r="H15" s="52"/>
      <c r="I15" s="164"/>
      <c r="J15" s="165"/>
      <c r="K15" s="165"/>
      <c r="L15" s="165"/>
      <c r="M15" s="165"/>
      <c r="N15" s="165"/>
      <c r="O15" s="165"/>
      <c r="P15" s="165"/>
      <c r="Q15" s="165"/>
      <c r="R15" s="165"/>
      <c r="S15" s="166"/>
      <c r="T15" s="17"/>
      <c r="U15" s="1" t="s">
        <v>81</v>
      </c>
      <c r="V15" s="204" t="s">
        <v>83</v>
      </c>
      <c r="W15" s="204"/>
      <c r="X15" s="204"/>
      <c r="Y15" s="204"/>
      <c r="Z15" s="204"/>
      <c r="AA15" s="204"/>
      <c r="AB15" s="204"/>
    </row>
    <row r="16" spans="2:28" ht="17.25" customHeight="1">
      <c r="B16" s="19" t="s">
        <v>41</v>
      </c>
      <c r="C16" s="119"/>
      <c r="D16" s="120"/>
      <c r="E16" s="120"/>
      <c r="F16" s="22">
        <v>14.16</v>
      </c>
      <c r="G16" s="28" t="str">
        <f t="shared" ref="G16:G22" si="0">IF(C16&lt;&gt;"",((D16*F16)+(C16*(24-F16)))/24,"")</f>
        <v/>
      </c>
      <c r="H16" s="53"/>
      <c r="I16" s="164"/>
      <c r="J16" s="165"/>
      <c r="K16" s="165"/>
      <c r="L16" s="165"/>
      <c r="M16" s="165"/>
      <c r="N16" s="165"/>
      <c r="O16" s="165"/>
      <c r="P16" s="165"/>
      <c r="Q16" s="165"/>
      <c r="R16" s="165"/>
      <c r="S16" s="166"/>
      <c r="T16" s="2"/>
    </row>
    <row r="17" spans="2:28" ht="17.25" customHeight="1">
      <c r="B17" s="20" t="s">
        <v>35</v>
      </c>
      <c r="C17" s="50">
        <v>7</v>
      </c>
      <c r="D17" s="51">
        <v>13</v>
      </c>
      <c r="E17" s="51">
        <v>11</v>
      </c>
      <c r="F17" s="7">
        <v>15.83</v>
      </c>
      <c r="G17" s="29">
        <f t="shared" si="0"/>
        <v>10.957500000000001</v>
      </c>
      <c r="H17" s="53"/>
      <c r="I17" s="164"/>
      <c r="J17" s="165"/>
      <c r="K17" s="165"/>
      <c r="L17" s="165"/>
      <c r="M17" s="165"/>
      <c r="N17" s="165"/>
      <c r="O17" s="165"/>
      <c r="P17" s="165"/>
      <c r="Q17" s="165"/>
      <c r="R17" s="165"/>
      <c r="S17" s="166"/>
      <c r="T17" s="2"/>
    </row>
    <row r="18" spans="2:28" ht="17.25" customHeight="1">
      <c r="B18" s="20" t="s">
        <v>36</v>
      </c>
      <c r="C18" s="50">
        <v>15</v>
      </c>
      <c r="D18" s="51">
        <v>23</v>
      </c>
      <c r="E18" s="51">
        <v>20</v>
      </c>
      <c r="F18" s="7">
        <v>16.88</v>
      </c>
      <c r="G18" s="29">
        <f t="shared" si="0"/>
        <v>20.626666666666665</v>
      </c>
      <c r="H18" s="53"/>
      <c r="I18" s="164"/>
      <c r="J18" s="165"/>
      <c r="K18" s="165"/>
      <c r="L18" s="165"/>
      <c r="M18" s="165"/>
      <c r="N18" s="165"/>
      <c r="O18" s="165"/>
      <c r="P18" s="165"/>
      <c r="Q18" s="165"/>
      <c r="R18" s="165"/>
      <c r="S18" s="166"/>
      <c r="T18" s="2"/>
    </row>
    <row r="19" spans="2:28" ht="17.25" customHeight="1">
      <c r="B19" s="20" t="s">
        <v>37</v>
      </c>
      <c r="C19" s="50">
        <v>14</v>
      </c>
      <c r="D19" s="51">
        <v>22</v>
      </c>
      <c r="E19" s="51">
        <v>20</v>
      </c>
      <c r="F19" s="7">
        <v>16.420000000000002</v>
      </c>
      <c r="G19" s="29">
        <f t="shared" si="0"/>
        <v>19.473333333333333</v>
      </c>
      <c r="H19" s="53"/>
      <c r="I19" s="164"/>
      <c r="J19" s="165"/>
      <c r="K19" s="165"/>
      <c r="L19" s="165"/>
      <c r="M19" s="165"/>
      <c r="N19" s="165"/>
      <c r="O19" s="165"/>
      <c r="P19" s="165"/>
      <c r="Q19" s="165"/>
      <c r="R19" s="165"/>
      <c r="S19" s="166"/>
    </row>
    <row r="20" spans="2:28" ht="17.25" customHeight="1">
      <c r="B20" s="20" t="s">
        <v>38</v>
      </c>
      <c r="C20" s="50">
        <v>14</v>
      </c>
      <c r="D20" s="51">
        <v>21</v>
      </c>
      <c r="E20" s="51">
        <v>18</v>
      </c>
      <c r="F20" s="7">
        <v>14.75</v>
      </c>
      <c r="G20" s="29">
        <f t="shared" si="0"/>
        <v>18.302083333333332</v>
      </c>
      <c r="H20" s="53"/>
      <c r="I20" s="164"/>
      <c r="J20" s="165"/>
      <c r="K20" s="165"/>
      <c r="L20" s="165"/>
      <c r="M20" s="165"/>
      <c r="N20" s="165"/>
      <c r="O20" s="165"/>
      <c r="P20" s="165"/>
      <c r="Q20" s="165"/>
      <c r="R20" s="165"/>
      <c r="S20" s="166"/>
    </row>
    <row r="21" spans="2:28" ht="17.25" customHeight="1">
      <c r="B21" s="20" t="s">
        <v>39</v>
      </c>
      <c r="C21" s="50">
        <v>13</v>
      </c>
      <c r="D21" s="51">
        <v>20</v>
      </c>
      <c r="E21" s="51">
        <v>17</v>
      </c>
      <c r="F21" s="7">
        <v>12.75</v>
      </c>
      <c r="G21" s="29">
        <f t="shared" si="0"/>
        <v>16.71875</v>
      </c>
      <c r="H21" s="53"/>
      <c r="I21" s="164"/>
      <c r="J21" s="165"/>
      <c r="K21" s="165"/>
      <c r="L21" s="165"/>
      <c r="M21" s="165"/>
      <c r="N21" s="165"/>
      <c r="O21" s="165"/>
      <c r="P21" s="165"/>
      <c r="Q21" s="165"/>
      <c r="R21" s="165"/>
      <c r="S21" s="166"/>
    </row>
    <row r="22" spans="2:28" ht="17.25" customHeight="1" thickBot="1">
      <c r="B22" s="21" t="s">
        <v>42</v>
      </c>
      <c r="C22" s="117"/>
      <c r="D22" s="118"/>
      <c r="E22" s="118"/>
      <c r="F22" s="23">
        <v>10.72</v>
      </c>
      <c r="G22" s="30" t="str">
        <f t="shared" si="0"/>
        <v/>
      </c>
      <c r="H22" s="53"/>
      <c r="I22" s="167"/>
      <c r="J22" s="168"/>
      <c r="K22" s="168"/>
      <c r="L22" s="168"/>
      <c r="M22" s="168"/>
      <c r="N22" s="168"/>
      <c r="O22" s="168"/>
      <c r="P22" s="168"/>
      <c r="Q22" s="168"/>
      <c r="R22" s="168"/>
      <c r="S22" s="169"/>
    </row>
    <row r="23" spans="2:28" ht="17.25" customHeight="1" thickBot="1"/>
    <row r="24" spans="2:28" ht="17.25" customHeight="1">
      <c r="B24" s="45" t="s">
        <v>85</v>
      </c>
      <c r="C24" s="33"/>
      <c r="D24" s="33"/>
      <c r="E24" s="33"/>
      <c r="F24" s="33"/>
      <c r="G24" s="36"/>
      <c r="I24" s="161" t="s">
        <v>95</v>
      </c>
      <c r="J24" s="185"/>
      <c r="K24" s="185"/>
      <c r="L24" s="185"/>
      <c r="M24" s="185"/>
      <c r="N24" s="185"/>
      <c r="O24" s="185"/>
      <c r="P24" s="185"/>
      <c r="Q24" s="185"/>
      <c r="R24" s="185"/>
      <c r="S24" s="186"/>
      <c r="U24" s="1" t="s">
        <v>81</v>
      </c>
      <c r="V24" s="204" t="s">
        <v>96</v>
      </c>
      <c r="W24" s="204"/>
      <c r="X24" s="204"/>
      <c r="Y24" s="204"/>
      <c r="Z24" s="204"/>
      <c r="AA24" s="204"/>
      <c r="AB24" s="204"/>
    </row>
    <row r="25" spans="2:28" ht="17.25" customHeight="1">
      <c r="B25" s="37"/>
      <c r="C25" s="2"/>
      <c r="D25" s="2"/>
      <c r="E25" s="2"/>
      <c r="F25" s="2"/>
      <c r="G25" s="39"/>
      <c r="I25" s="179"/>
      <c r="J25" s="180"/>
      <c r="K25" s="180"/>
      <c r="L25" s="180"/>
      <c r="M25" s="180"/>
      <c r="N25" s="180"/>
      <c r="O25" s="180"/>
      <c r="P25" s="180"/>
      <c r="Q25" s="180"/>
      <c r="R25" s="180"/>
      <c r="S25" s="183"/>
    </row>
    <row r="26" spans="2:28" ht="17.25" customHeight="1">
      <c r="B26" s="37" t="s">
        <v>86</v>
      </c>
      <c r="D26" s="49">
        <v>0.28999999999999998</v>
      </c>
      <c r="E26" s="2" t="s">
        <v>49</v>
      </c>
      <c r="F26" s="2"/>
      <c r="G26" s="39"/>
      <c r="I26" s="179"/>
      <c r="J26" s="180"/>
      <c r="K26" s="180"/>
      <c r="L26" s="180"/>
      <c r="M26" s="180"/>
      <c r="N26" s="180"/>
      <c r="O26" s="180"/>
      <c r="P26" s="180"/>
      <c r="Q26" s="180"/>
      <c r="R26" s="180"/>
      <c r="S26" s="183"/>
    </row>
    <row r="27" spans="2:28" ht="17.25" customHeight="1">
      <c r="B27" s="37"/>
      <c r="C27" s="71"/>
      <c r="D27" s="2"/>
      <c r="E27" s="2"/>
      <c r="F27" s="2"/>
      <c r="G27" s="39"/>
      <c r="I27" s="179"/>
      <c r="J27" s="180"/>
      <c r="K27" s="180"/>
      <c r="L27" s="180"/>
      <c r="M27" s="180"/>
      <c r="N27" s="180"/>
      <c r="O27" s="180"/>
      <c r="P27" s="180"/>
      <c r="Q27" s="180"/>
      <c r="R27" s="180"/>
      <c r="S27" s="183"/>
    </row>
    <row r="28" spans="2:28" ht="17.25" customHeight="1">
      <c r="B28" s="37" t="s">
        <v>89</v>
      </c>
      <c r="C28" s="71"/>
      <c r="D28" s="51">
        <v>26</v>
      </c>
      <c r="E28" s="2" t="s">
        <v>66</v>
      </c>
      <c r="F28" s="2"/>
      <c r="G28" s="39"/>
      <c r="I28" s="179"/>
      <c r="J28" s="180"/>
      <c r="K28" s="180"/>
      <c r="L28" s="180"/>
      <c r="M28" s="180"/>
      <c r="N28" s="180"/>
      <c r="O28" s="180"/>
      <c r="P28" s="180"/>
      <c r="Q28" s="180"/>
      <c r="R28" s="180"/>
      <c r="S28" s="183"/>
    </row>
    <row r="29" spans="2:28" ht="17.25" customHeight="1">
      <c r="B29" s="37"/>
      <c r="C29" s="71"/>
      <c r="D29" s="2"/>
      <c r="E29" s="2"/>
      <c r="F29" s="2"/>
      <c r="G29" s="39"/>
      <c r="I29" s="179"/>
      <c r="J29" s="180"/>
      <c r="K29" s="180"/>
      <c r="L29" s="180"/>
      <c r="M29" s="180"/>
      <c r="N29" s="180"/>
      <c r="O29" s="180"/>
      <c r="P29" s="180"/>
      <c r="Q29" s="180"/>
      <c r="R29" s="180"/>
      <c r="S29" s="183"/>
    </row>
    <row r="30" spans="2:28" ht="17.25" customHeight="1">
      <c r="B30" s="37" t="s">
        <v>87</v>
      </c>
      <c r="C30" s="71"/>
      <c r="D30" s="49">
        <v>5.7290000000000001</v>
      </c>
      <c r="E30" s="2" t="s">
        <v>97</v>
      </c>
      <c r="F30" s="2"/>
      <c r="G30" s="39"/>
      <c r="I30" s="179"/>
      <c r="J30" s="180"/>
      <c r="K30" s="180"/>
      <c r="L30" s="180"/>
      <c r="M30" s="180"/>
      <c r="N30" s="180"/>
      <c r="O30" s="180"/>
      <c r="P30" s="180"/>
      <c r="Q30" s="180"/>
      <c r="R30" s="180"/>
      <c r="S30" s="183"/>
    </row>
    <row r="31" spans="2:28" ht="17.25" customHeight="1">
      <c r="B31" s="37" t="s">
        <v>88</v>
      </c>
      <c r="C31" s="71"/>
      <c r="D31" s="49">
        <v>1.4930000000000001</v>
      </c>
      <c r="E31" s="2" t="s">
        <v>97</v>
      </c>
      <c r="F31" s="2"/>
      <c r="G31" s="39"/>
      <c r="I31" s="179"/>
      <c r="J31" s="180"/>
      <c r="K31" s="180"/>
      <c r="L31" s="180"/>
      <c r="M31" s="180"/>
      <c r="N31" s="180"/>
      <c r="O31" s="180"/>
      <c r="P31" s="180"/>
      <c r="Q31" s="180"/>
      <c r="R31" s="180"/>
      <c r="S31" s="183"/>
    </row>
    <row r="32" spans="2:28" ht="17.25" customHeight="1">
      <c r="B32" s="37" t="s">
        <v>100</v>
      </c>
      <c r="C32" s="71"/>
      <c r="D32" s="49">
        <v>3.7040000000000002</v>
      </c>
      <c r="E32" s="2" t="s">
        <v>97</v>
      </c>
      <c r="F32" s="2"/>
      <c r="G32" s="39"/>
      <c r="I32" s="179" t="s">
        <v>90</v>
      </c>
      <c r="J32" s="180"/>
      <c r="K32" s="180"/>
      <c r="L32" s="180" t="s">
        <v>92</v>
      </c>
      <c r="M32" s="180"/>
      <c r="N32" s="180" t="s">
        <v>91</v>
      </c>
      <c r="O32" s="180"/>
      <c r="P32" s="180"/>
      <c r="Q32" s="180"/>
      <c r="R32" s="180" t="s">
        <v>93</v>
      </c>
      <c r="S32" s="183"/>
    </row>
    <row r="33" spans="2:19" ht="17.25" customHeight="1">
      <c r="B33" s="37"/>
      <c r="F33" s="2"/>
      <c r="G33" s="39"/>
      <c r="I33" s="179"/>
      <c r="J33" s="180"/>
      <c r="K33" s="180"/>
      <c r="L33" s="180"/>
      <c r="M33" s="180"/>
      <c r="N33" s="180"/>
      <c r="O33" s="180"/>
      <c r="P33" s="180"/>
      <c r="Q33" s="180"/>
      <c r="R33" s="180"/>
      <c r="S33" s="183"/>
    </row>
    <row r="34" spans="2:19" ht="17.25" customHeight="1">
      <c r="B34" s="37" t="s">
        <v>94</v>
      </c>
      <c r="C34" s="71"/>
      <c r="D34" s="4">
        <v>4.1820000000000004</v>
      </c>
      <c r="E34" s="2" t="s">
        <v>65</v>
      </c>
      <c r="F34" s="2"/>
      <c r="G34" s="39"/>
      <c r="I34" s="179"/>
      <c r="J34" s="180"/>
      <c r="K34" s="180"/>
      <c r="L34" s="180"/>
      <c r="M34" s="180"/>
      <c r="N34" s="180"/>
      <c r="O34" s="180"/>
      <c r="P34" s="180"/>
      <c r="Q34" s="180"/>
      <c r="R34" s="180"/>
      <c r="S34" s="183"/>
    </row>
    <row r="35" spans="2:19" ht="17.25" customHeight="1">
      <c r="B35" s="37"/>
      <c r="C35" s="71"/>
      <c r="D35" s="2"/>
      <c r="E35" s="2"/>
      <c r="F35" s="2"/>
      <c r="G35" s="39"/>
      <c r="I35" s="179"/>
      <c r="J35" s="180"/>
      <c r="K35" s="180"/>
      <c r="L35" s="180"/>
      <c r="M35" s="180"/>
      <c r="N35" s="180"/>
      <c r="O35" s="180"/>
      <c r="P35" s="180"/>
      <c r="Q35" s="180"/>
      <c r="R35" s="180"/>
      <c r="S35" s="183"/>
    </row>
    <row r="36" spans="2:19" ht="17.25" customHeight="1">
      <c r="B36" s="37"/>
      <c r="C36" s="71"/>
      <c r="D36" s="2"/>
      <c r="E36" s="2"/>
      <c r="F36" s="2"/>
      <c r="G36" s="39"/>
      <c r="I36" s="179"/>
      <c r="J36" s="180"/>
      <c r="K36" s="180"/>
      <c r="L36" s="180"/>
      <c r="M36" s="180"/>
      <c r="N36" s="180"/>
      <c r="O36" s="180"/>
      <c r="P36" s="180"/>
      <c r="Q36" s="180"/>
      <c r="R36" s="180"/>
      <c r="S36" s="183"/>
    </row>
    <row r="37" spans="2:19" ht="17.25" customHeight="1" thickBot="1">
      <c r="B37" s="40"/>
      <c r="C37" s="41"/>
      <c r="D37" s="41"/>
      <c r="E37" s="41"/>
      <c r="F37" s="41"/>
      <c r="G37" s="44"/>
      <c r="I37" s="181"/>
      <c r="J37" s="182"/>
      <c r="K37" s="182"/>
      <c r="L37" s="182"/>
      <c r="M37" s="182"/>
      <c r="N37" s="182"/>
      <c r="O37" s="182"/>
      <c r="P37" s="182"/>
      <c r="Q37" s="182"/>
      <c r="R37" s="182"/>
      <c r="S37" s="184"/>
    </row>
    <row r="38" spans="2:19" ht="17.25" customHeight="1" thickBot="1"/>
    <row r="39" spans="2:19" ht="17.25" customHeight="1">
      <c r="B39" s="45" t="s">
        <v>107</v>
      </c>
      <c r="C39" s="33"/>
      <c r="D39" s="33"/>
      <c r="E39" s="33"/>
      <c r="F39" s="33"/>
      <c r="G39" s="133"/>
      <c r="I39" s="161" t="s">
        <v>115</v>
      </c>
      <c r="J39" s="162"/>
      <c r="K39" s="162"/>
      <c r="L39" s="162"/>
      <c r="M39" s="162"/>
      <c r="N39" s="162"/>
      <c r="O39" s="162"/>
      <c r="P39" s="162"/>
      <c r="Q39" s="162"/>
      <c r="R39" s="162"/>
      <c r="S39" s="163"/>
    </row>
    <row r="40" spans="2:19" ht="17.25" customHeight="1">
      <c r="B40" s="134"/>
      <c r="C40" s="2"/>
      <c r="D40" s="2"/>
      <c r="E40" s="2"/>
      <c r="F40" s="2"/>
      <c r="G40" s="135"/>
      <c r="I40" s="164"/>
      <c r="J40" s="165"/>
      <c r="K40" s="165"/>
      <c r="L40" s="165"/>
      <c r="M40" s="165"/>
      <c r="N40" s="165"/>
      <c r="O40" s="165"/>
      <c r="P40" s="165"/>
      <c r="Q40" s="165"/>
      <c r="R40" s="165"/>
      <c r="S40" s="166"/>
    </row>
    <row r="41" spans="2:19" ht="17.25" customHeight="1">
      <c r="B41" s="143" t="s">
        <v>110</v>
      </c>
      <c r="C41" s="2"/>
      <c r="D41" s="2"/>
      <c r="E41" s="49">
        <v>0.49</v>
      </c>
      <c r="F41" s="2" t="s">
        <v>59</v>
      </c>
      <c r="G41" s="135"/>
      <c r="I41" s="164"/>
      <c r="J41" s="165"/>
      <c r="K41" s="165"/>
      <c r="L41" s="165"/>
      <c r="M41" s="165"/>
      <c r="N41" s="165"/>
      <c r="O41" s="165"/>
      <c r="P41" s="165"/>
      <c r="Q41" s="165"/>
      <c r="R41" s="165"/>
      <c r="S41" s="166"/>
    </row>
    <row r="42" spans="2:19" ht="17.25" customHeight="1" thickBot="1">
      <c r="B42" s="136"/>
      <c r="C42" s="41"/>
      <c r="D42" s="41"/>
      <c r="E42" s="2"/>
      <c r="F42" s="2"/>
      <c r="G42" s="135"/>
      <c r="I42" s="164"/>
      <c r="J42" s="165"/>
      <c r="K42" s="165"/>
      <c r="L42" s="165"/>
      <c r="M42" s="165"/>
      <c r="N42" s="165"/>
      <c r="O42" s="165"/>
      <c r="P42" s="165"/>
      <c r="Q42" s="165"/>
      <c r="R42" s="165"/>
      <c r="S42" s="166"/>
    </row>
    <row r="43" spans="2:19" ht="17.25" customHeight="1" thickBot="1">
      <c r="B43" s="18" t="s">
        <v>34</v>
      </c>
      <c r="C43" s="26" t="s">
        <v>108</v>
      </c>
      <c r="D43" s="25" t="s">
        <v>109</v>
      </c>
      <c r="E43" s="52"/>
      <c r="F43" s="52"/>
      <c r="G43" s="137"/>
      <c r="I43" s="164"/>
      <c r="J43" s="165"/>
      <c r="K43" s="165"/>
      <c r="L43" s="165"/>
      <c r="M43" s="165"/>
      <c r="N43" s="165"/>
      <c r="O43" s="165"/>
      <c r="P43" s="165"/>
      <c r="Q43" s="165"/>
      <c r="R43" s="165"/>
      <c r="S43" s="166"/>
    </row>
    <row r="44" spans="2:19" ht="17.25" customHeight="1">
      <c r="B44" s="19" t="s">
        <v>41</v>
      </c>
      <c r="C44" s="119">
        <v>4</v>
      </c>
      <c r="D44" s="140">
        <v>8</v>
      </c>
      <c r="E44" s="138"/>
      <c r="F44" s="70"/>
      <c r="G44" s="130"/>
      <c r="I44" s="164"/>
      <c r="J44" s="165"/>
      <c r="K44" s="165"/>
      <c r="L44" s="165"/>
      <c r="M44" s="165"/>
      <c r="N44" s="165"/>
      <c r="O44" s="165"/>
      <c r="P44" s="165"/>
      <c r="Q44" s="165"/>
      <c r="R44" s="165"/>
      <c r="S44" s="166"/>
    </row>
    <row r="45" spans="2:19" ht="17.25" customHeight="1">
      <c r="B45" s="20" t="s">
        <v>35</v>
      </c>
      <c r="C45" s="50">
        <v>6</v>
      </c>
      <c r="D45" s="141">
        <v>10</v>
      </c>
      <c r="E45" s="138"/>
      <c r="F45" s="70"/>
      <c r="G45" s="130"/>
      <c r="I45" s="164"/>
      <c r="J45" s="165"/>
      <c r="K45" s="165"/>
      <c r="L45" s="165"/>
      <c r="M45" s="165"/>
      <c r="N45" s="165"/>
      <c r="O45" s="165"/>
      <c r="P45" s="165"/>
      <c r="Q45" s="165"/>
      <c r="R45" s="165"/>
      <c r="S45" s="166"/>
    </row>
    <row r="46" spans="2:19" ht="17.25" customHeight="1">
      <c r="B46" s="20" t="s">
        <v>36</v>
      </c>
      <c r="C46" s="50">
        <v>8</v>
      </c>
      <c r="D46" s="141">
        <v>12</v>
      </c>
      <c r="E46" s="138"/>
      <c r="F46" s="70"/>
      <c r="G46" s="130"/>
      <c r="I46" s="164"/>
      <c r="J46" s="165"/>
      <c r="K46" s="165"/>
      <c r="L46" s="165"/>
      <c r="M46" s="165"/>
      <c r="N46" s="165"/>
      <c r="O46" s="165"/>
      <c r="P46" s="165"/>
      <c r="Q46" s="165"/>
      <c r="R46" s="165"/>
      <c r="S46" s="166"/>
    </row>
    <row r="47" spans="2:19" ht="17.25" customHeight="1">
      <c r="B47" s="20" t="s">
        <v>37</v>
      </c>
      <c r="C47" s="50">
        <v>10</v>
      </c>
      <c r="D47" s="141">
        <v>14</v>
      </c>
      <c r="E47" s="138"/>
      <c r="F47" s="70"/>
      <c r="G47" s="130"/>
      <c r="I47" s="164"/>
      <c r="J47" s="165"/>
      <c r="K47" s="165"/>
      <c r="L47" s="165"/>
      <c r="M47" s="165"/>
      <c r="N47" s="165"/>
      <c r="O47" s="165"/>
      <c r="P47" s="165"/>
      <c r="Q47" s="165"/>
      <c r="R47" s="165"/>
      <c r="S47" s="166"/>
    </row>
    <row r="48" spans="2:19" ht="17.25" customHeight="1">
      <c r="B48" s="20" t="s">
        <v>38</v>
      </c>
      <c r="C48" s="50">
        <v>8</v>
      </c>
      <c r="D48" s="141">
        <v>12</v>
      </c>
      <c r="E48" s="138"/>
      <c r="F48" s="70"/>
      <c r="G48" s="130"/>
      <c r="I48" s="164"/>
      <c r="J48" s="165"/>
      <c r="K48" s="165"/>
      <c r="L48" s="165"/>
      <c r="M48" s="165"/>
      <c r="N48" s="165"/>
      <c r="O48" s="165"/>
      <c r="P48" s="165"/>
      <c r="Q48" s="165"/>
      <c r="R48" s="165"/>
      <c r="S48" s="166"/>
    </row>
    <row r="49" spans="2:19" ht="17.25" customHeight="1">
      <c r="B49" s="20" t="s">
        <v>39</v>
      </c>
      <c r="C49" s="50">
        <v>6</v>
      </c>
      <c r="D49" s="141">
        <v>10</v>
      </c>
      <c r="E49" s="138"/>
      <c r="F49" s="70"/>
      <c r="G49" s="130"/>
      <c r="I49" s="164"/>
      <c r="J49" s="165"/>
      <c r="K49" s="165"/>
      <c r="L49" s="165"/>
      <c r="M49" s="165"/>
      <c r="N49" s="165"/>
      <c r="O49" s="165"/>
      <c r="P49" s="165"/>
      <c r="Q49" s="165"/>
      <c r="R49" s="165"/>
      <c r="S49" s="166"/>
    </row>
    <row r="50" spans="2:19" ht="17.25" customHeight="1" thickBot="1">
      <c r="B50" s="21" t="s">
        <v>42</v>
      </c>
      <c r="C50" s="117">
        <v>4</v>
      </c>
      <c r="D50" s="142">
        <v>8</v>
      </c>
      <c r="E50" s="139"/>
      <c r="F50" s="131"/>
      <c r="G50" s="132"/>
      <c r="I50" s="167"/>
      <c r="J50" s="168"/>
      <c r="K50" s="168"/>
      <c r="L50" s="168"/>
      <c r="M50" s="168"/>
      <c r="N50" s="168"/>
      <c r="O50" s="168"/>
      <c r="P50" s="168"/>
      <c r="Q50" s="168"/>
      <c r="R50" s="168"/>
      <c r="S50" s="169"/>
    </row>
  </sheetData>
  <mergeCells count="15">
    <mergeCell ref="I39:S50"/>
    <mergeCell ref="U2:V2"/>
    <mergeCell ref="R6:R7"/>
    <mergeCell ref="C8:D8"/>
    <mergeCell ref="J4:P9"/>
    <mergeCell ref="I2:S2"/>
    <mergeCell ref="I14:S22"/>
    <mergeCell ref="I32:K37"/>
    <mergeCell ref="L32:M37"/>
    <mergeCell ref="N32:Q37"/>
    <mergeCell ref="R32:S37"/>
    <mergeCell ref="I24:S31"/>
    <mergeCell ref="V14:AB14"/>
    <mergeCell ref="V15:AB15"/>
    <mergeCell ref="V24:AB24"/>
  </mergeCells>
  <conditionalFormatting sqref="L10:N10">
    <cfRule type="expression" dxfId="179" priority="5">
      <formula>$C$8="Rechteckpool"</formula>
    </cfRule>
  </conditionalFormatting>
  <conditionalFormatting sqref="L11">
    <cfRule type="expression" dxfId="178" priority="4">
      <formula>$C$8="Rechteckpool"</formula>
    </cfRule>
  </conditionalFormatting>
  <conditionalFormatting sqref="N11">
    <cfRule type="expression" dxfId="177" priority="3">
      <formula>$C$8="Rechteckpool"</formula>
    </cfRule>
  </conditionalFormatting>
  <conditionalFormatting sqref="L11 N11">
    <cfRule type="expression" dxfId="176" priority="2">
      <formula>$C$8="Ovalpool"</formula>
    </cfRule>
  </conditionalFormatting>
  <conditionalFormatting sqref="L10:N10 J11 P11">
    <cfRule type="expression" dxfId="175" priority="1">
      <formula>$C$8="Rundpool"</formula>
    </cfRule>
  </conditionalFormatting>
  <dataValidations count="1">
    <dataValidation type="list" allowBlank="1" showInputMessage="1" showErrorMessage="1" sqref="C8:D8">
      <formula1>Hilfsdaten!A2:A4</formula1>
    </dataValidation>
  </dataValidations>
  <hyperlinks>
    <hyperlink ref="U2" location="Start!A1" display="&lt;- Zurück"/>
    <hyperlink ref="V14" r:id="rId1"/>
    <hyperlink ref="V15" r:id="rId2"/>
  </hyperlinks>
  <pageMargins left="0.7" right="0.7" top="0.78740157499999996" bottom="0.78740157499999996" header="0.3" footer="0.3"/>
  <pageSetup paperSize="9" scale="99" orientation="landscape" r:id="rId3"/>
  <headerFooter>
    <oddFooter>&amp;C&amp;1#&amp;"Arial"&amp;10&amp;K000000Internal</oddFooter>
  </headerFooter>
  <legacyDrawing r:id="rId4"/>
</worksheet>
</file>

<file path=xl/worksheets/sheet3.xml><?xml version="1.0" encoding="utf-8"?>
<worksheet xmlns="http://schemas.openxmlformats.org/spreadsheetml/2006/main" xmlns:r="http://schemas.openxmlformats.org/officeDocument/2006/relationships">
  <sheetPr codeName="Tabelle3"/>
  <dimension ref="B1:P119"/>
  <sheetViews>
    <sheetView workbookViewId="0">
      <selection activeCell="N2" sqref="N2:O2"/>
    </sheetView>
  </sheetViews>
  <sheetFormatPr baseColWidth="10" defaultRowHeight="15"/>
  <cols>
    <col min="1" max="1" width="3.140625" style="1" customWidth="1"/>
    <col min="2" max="2" width="26" style="1" customWidth="1"/>
    <col min="3" max="20" width="11.7109375" style="1" customWidth="1"/>
    <col min="21" max="16384" width="11.42578125" style="1"/>
  </cols>
  <sheetData>
    <row r="1" spans="2:15" ht="14.25" customHeight="1" thickBot="1"/>
    <row r="2" spans="2:15" ht="17.25" customHeight="1" thickBot="1">
      <c r="B2" s="69" t="s">
        <v>56</v>
      </c>
      <c r="N2" s="170" t="s">
        <v>51</v>
      </c>
      <c r="O2" s="171"/>
    </row>
    <row r="3" spans="2:15" ht="17.25" customHeight="1" thickBot="1"/>
    <row r="4" spans="2:15" ht="17.25" customHeight="1">
      <c r="B4" s="111" t="s">
        <v>53</v>
      </c>
      <c r="C4" s="112"/>
      <c r="D4" s="113"/>
      <c r="E4" s="111" t="s">
        <v>54</v>
      </c>
      <c r="F4" s="112"/>
      <c r="G4" s="112"/>
      <c r="H4" s="113"/>
      <c r="I4" s="111" t="s">
        <v>55</v>
      </c>
      <c r="J4" s="112"/>
      <c r="K4" s="112"/>
      <c r="L4" s="113"/>
      <c r="N4" s="68"/>
    </row>
    <row r="5" spans="2:15" s="73" customFormat="1" ht="7.5" customHeight="1">
      <c r="B5" s="99"/>
      <c r="C5" s="54"/>
      <c r="D5" s="98"/>
      <c r="E5" s="99"/>
      <c r="F5" s="54"/>
      <c r="G5" s="54"/>
      <c r="H5" s="98"/>
      <c r="I5" s="99"/>
      <c r="J5" s="54"/>
      <c r="K5" s="54"/>
      <c r="L5" s="98"/>
    </row>
    <row r="6" spans="2:15" ht="17.25" customHeight="1">
      <c r="B6" s="96" t="s">
        <v>101</v>
      </c>
      <c r="C6" s="51">
        <v>15</v>
      </c>
      <c r="D6" s="39" t="s">
        <v>66</v>
      </c>
      <c r="E6" s="96" t="s">
        <v>101</v>
      </c>
      <c r="F6" s="54"/>
      <c r="G6" s="51">
        <v>15</v>
      </c>
      <c r="H6" s="39" t="s">
        <v>66</v>
      </c>
      <c r="I6" s="96" t="s">
        <v>101</v>
      </c>
      <c r="J6" s="54"/>
      <c r="K6" s="51">
        <v>15</v>
      </c>
      <c r="L6" s="39" t="s">
        <v>66</v>
      </c>
    </row>
    <row r="7" spans="2:15" ht="17.25" customHeight="1">
      <c r="B7" s="37" t="s">
        <v>60</v>
      </c>
      <c r="C7" s="55">
        <v>10.5</v>
      </c>
      <c r="D7" s="39" t="s">
        <v>59</v>
      </c>
      <c r="E7" s="37" t="s">
        <v>60</v>
      </c>
      <c r="F7" s="70"/>
      <c r="G7" s="121">
        <v>5.28</v>
      </c>
      <c r="H7" s="39" t="s">
        <v>59</v>
      </c>
      <c r="I7" s="37" t="s">
        <v>60</v>
      </c>
      <c r="J7" s="70"/>
      <c r="K7" s="121">
        <v>2.08</v>
      </c>
      <c r="L7" s="39" t="s">
        <v>59</v>
      </c>
    </row>
    <row r="8" spans="2:15" ht="17.25" customHeight="1">
      <c r="B8" s="37" t="s">
        <v>63</v>
      </c>
      <c r="C8" s="55">
        <v>2.29</v>
      </c>
      <c r="D8" s="39" t="s">
        <v>59</v>
      </c>
      <c r="E8" s="37" t="s">
        <v>63</v>
      </c>
      <c r="F8" s="70"/>
      <c r="G8" s="121">
        <v>0.81</v>
      </c>
      <c r="H8" s="39" t="s">
        <v>59</v>
      </c>
      <c r="I8" s="37" t="s">
        <v>63</v>
      </c>
      <c r="J8" s="70"/>
      <c r="K8" s="121">
        <v>0.26</v>
      </c>
      <c r="L8" s="39" t="s">
        <v>59</v>
      </c>
    </row>
    <row r="9" spans="2:15" ht="17.25" customHeight="1">
      <c r="B9" s="37" t="s">
        <v>62</v>
      </c>
      <c r="C9" s="55"/>
      <c r="D9" s="39"/>
      <c r="E9" s="37" t="s">
        <v>62</v>
      </c>
      <c r="F9" s="70"/>
      <c r="G9" s="55"/>
      <c r="H9" s="39"/>
      <c r="I9" s="37" t="s">
        <v>62</v>
      </c>
      <c r="J9" s="70"/>
      <c r="K9" s="55"/>
      <c r="L9" s="39"/>
    </row>
    <row r="10" spans="2:15" s="73" customFormat="1" ht="17.25" customHeight="1">
      <c r="B10" s="97"/>
      <c r="C10" s="70"/>
      <c r="D10" s="98"/>
      <c r="E10" s="97"/>
      <c r="F10" s="70"/>
      <c r="G10" s="70"/>
      <c r="H10" s="98"/>
      <c r="I10" s="97"/>
      <c r="J10" s="70"/>
      <c r="K10" s="70"/>
      <c r="L10" s="98"/>
    </row>
    <row r="11" spans="2:15" ht="17.25" customHeight="1">
      <c r="B11" s="96" t="s">
        <v>101</v>
      </c>
      <c r="C11" s="51">
        <v>26</v>
      </c>
      <c r="D11" s="39" t="s">
        <v>66</v>
      </c>
      <c r="E11" s="96" t="s">
        <v>101</v>
      </c>
      <c r="F11" s="70"/>
      <c r="G11" s="51">
        <v>26</v>
      </c>
      <c r="H11" s="39" t="s">
        <v>66</v>
      </c>
      <c r="I11" s="96" t="s">
        <v>101</v>
      </c>
      <c r="J11" s="70"/>
      <c r="K11" s="51">
        <v>26</v>
      </c>
      <c r="L11" s="39" t="s">
        <v>66</v>
      </c>
    </row>
    <row r="12" spans="2:15" ht="17.25" customHeight="1">
      <c r="B12" s="37" t="s">
        <v>60</v>
      </c>
      <c r="C12" s="55">
        <v>14.5</v>
      </c>
      <c r="D12" s="39" t="s">
        <v>59</v>
      </c>
      <c r="E12" s="37" t="s">
        <v>60</v>
      </c>
      <c r="F12" s="70"/>
      <c r="G12" s="121">
        <v>7.31</v>
      </c>
      <c r="H12" s="39" t="s">
        <v>59</v>
      </c>
      <c r="I12" s="37" t="s">
        <v>60</v>
      </c>
      <c r="J12" s="70"/>
      <c r="K12" s="121">
        <v>2.25</v>
      </c>
      <c r="L12" s="39" t="s">
        <v>59</v>
      </c>
    </row>
    <row r="13" spans="2:15" ht="17.25" customHeight="1">
      <c r="B13" s="37" t="s">
        <v>63</v>
      </c>
      <c r="C13" s="55">
        <v>2.4300000000000002</v>
      </c>
      <c r="D13" s="39" t="s">
        <v>59</v>
      </c>
      <c r="E13" s="37" t="s">
        <v>63</v>
      </c>
      <c r="F13" s="70"/>
      <c r="G13" s="121">
        <v>0.72</v>
      </c>
      <c r="H13" s="39" t="s">
        <v>59</v>
      </c>
      <c r="I13" s="37" t="s">
        <v>63</v>
      </c>
      <c r="J13" s="70"/>
      <c r="K13" s="121">
        <v>0.14000000000000001</v>
      </c>
      <c r="L13" s="39" t="s">
        <v>59</v>
      </c>
    </row>
    <row r="14" spans="2:15" ht="17.25" customHeight="1">
      <c r="B14" s="37" t="s">
        <v>62</v>
      </c>
      <c r="C14" s="55"/>
      <c r="D14" s="39"/>
      <c r="E14" s="37" t="s">
        <v>62</v>
      </c>
      <c r="F14" s="70"/>
      <c r="G14" s="55"/>
      <c r="H14" s="39"/>
      <c r="I14" s="37" t="s">
        <v>62</v>
      </c>
      <c r="J14" s="70"/>
      <c r="K14" s="55"/>
      <c r="L14" s="39"/>
    </row>
    <row r="15" spans="2:15" ht="17.25" customHeight="1">
      <c r="B15" s="37"/>
      <c r="C15" s="70"/>
      <c r="D15" s="39"/>
      <c r="E15" s="37"/>
      <c r="F15" s="2"/>
      <c r="G15" s="2"/>
      <c r="H15" s="39"/>
      <c r="I15" s="37"/>
      <c r="J15" s="2"/>
      <c r="K15" s="2"/>
      <c r="L15" s="39"/>
    </row>
    <row r="16" spans="2:15" ht="17.25" customHeight="1">
      <c r="B16" s="37"/>
      <c r="C16" s="2"/>
      <c r="D16" s="39"/>
      <c r="E16" s="37"/>
      <c r="F16" s="2"/>
      <c r="G16" s="2"/>
      <c r="H16" s="39"/>
      <c r="I16" s="37"/>
      <c r="J16" s="2"/>
      <c r="K16" s="2"/>
      <c r="L16" s="39"/>
    </row>
    <row r="17" spans="2:12" ht="17.25" customHeight="1">
      <c r="B17" s="37"/>
      <c r="C17" s="2"/>
      <c r="D17" s="39"/>
      <c r="E17" s="37"/>
      <c r="F17" s="2"/>
      <c r="G17" s="2"/>
      <c r="H17" s="39"/>
      <c r="I17" s="37"/>
      <c r="J17" s="2"/>
      <c r="K17" s="2"/>
      <c r="L17" s="39"/>
    </row>
    <row r="18" spans="2:12" ht="17.25" customHeight="1">
      <c r="B18" s="37"/>
      <c r="C18" s="2"/>
      <c r="D18" s="39"/>
      <c r="E18" s="37"/>
      <c r="F18" s="2"/>
      <c r="G18" s="2"/>
      <c r="H18" s="39"/>
      <c r="I18" s="37"/>
      <c r="J18" s="2"/>
      <c r="K18" s="2"/>
      <c r="L18" s="39"/>
    </row>
    <row r="19" spans="2:12" ht="17.25" customHeight="1">
      <c r="B19" s="37"/>
      <c r="C19" s="2"/>
      <c r="D19" s="39"/>
      <c r="E19" s="37"/>
      <c r="F19" s="2"/>
      <c r="G19" s="2"/>
      <c r="H19" s="39"/>
      <c r="I19" s="37"/>
      <c r="J19" s="2"/>
      <c r="K19" s="2"/>
      <c r="L19" s="39"/>
    </row>
    <row r="20" spans="2:12" ht="17.25" customHeight="1">
      <c r="B20" s="37"/>
      <c r="C20" s="2"/>
      <c r="D20" s="39"/>
      <c r="E20" s="37"/>
      <c r="F20" s="2"/>
      <c r="G20" s="2"/>
      <c r="H20" s="39"/>
      <c r="I20" s="37"/>
      <c r="J20" s="2"/>
      <c r="K20" s="2"/>
      <c r="L20" s="39"/>
    </row>
    <row r="21" spans="2:12" ht="17.25" customHeight="1" thickBot="1">
      <c r="B21" s="40"/>
      <c r="C21" s="41"/>
      <c r="D21" s="44"/>
      <c r="E21" s="40"/>
      <c r="F21" s="41"/>
      <c r="G21" s="41"/>
      <c r="H21" s="44"/>
      <c r="I21" s="40"/>
      <c r="J21" s="41"/>
      <c r="K21" s="41"/>
      <c r="L21" s="44"/>
    </row>
    <row r="22" spans="2:12" ht="17.25" customHeight="1">
      <c r="B22" s="32" t="s">
        <v>102</v>
      </c>
      <c r="C22" s="33"/>
      <c r="D22" s="36"/>
      <c r="E22" s="32" t="s">
        <v>102</v>
      </c>
      <c r="F22" s="33"/>
      <c r="G22" s="33"/>
      <c r="H22" s="36"/>
      <c r="I22" s="32" t="s">
        <v>102</v>
      </c>
      <c r="J22" s="33"/>
      <c r="K22" s="33"/>
      <c r="L22" s="36"/>
    </row>
    <row r="23" spans="2:12" ht="17.25" customHeight="1">
      <c r="B23" s="187" t="s">
        <v>116</v>
      </c>
      <c r="C23" s="188"/>
      <c r="D23" s="189"/>
      <c r="E23" s="187" t="s">
        <v>118</v>
      </c>
      <c r="F23" s="188"/>
      <c r="G23" s="188"/>
      <c r="H23" s="189"/>
      <c r="I23" s="187" t="s">
        <v>117</v>
      </c>
      <c r="J23" s="188"/>
      <c r="K23" s="188"/>
      <c r="L23" s="189"/>
    </row>
    <row r="24" spans="2:12" ht="17.25" customHeight="1">
      <c r="B24" s="187"/>
      <c r="C24" s="188"/>
      <c r="D24" s="189"/>
      <c r="E24" s="187"/>
      <c r="F24" s="188"/>
      <c r="G24" s="188"/>
      <c r="H24" s="189"/>
      <c r="I24" s="187"/>
      <c r="J24" s="188"/>
      <c r="K24" s="188"/>
      <c r="L24" s="189"/>
    </row>
    <row r="25" spans="2:12" ht="17.25" customHeight="1" thickBot="1">
      <c r="B25" s="190"/>
      <c r="C25" s="191"/>
      <c r="D25" s="192"/>
      <c r="E25" s="190"/>
      <c r="F25" s="191"/>
      <c r="G25" s="191"/>
      <c r="H25" s="192"/>
      <c r="I25" s="190"/>
      <c r="J25" s="191"/>
      <c r="K25" s="191"/>
      <c r="L25" s="192"/>
    </row>
    <row r="26" spans="2:12" ht="17.25" customHeight="1">
      <c r="B26" s="100" t="s">
        <v>78</v>
      </c>
    </row>
    <row r="27" spans="2:12" ht="17.25" customHeight="1"/>
    <row r="29" spans="2:12" ht="18.75">
      <c r="B29" s="153" t="s">
        <v>99</v>
      </c>
    </row>
    <row r="30" spans="2:12" ht="15.75" thickBot="1"/>
    <row r="31" spans="2:12">
      <c r="B31" s="95"/>
      <c r="C31" s="81" t="s">
        <v>41</v>
      </c>
      <c r="D31" s="76" t="s">
        <v>35</v>
      </c>
      <c r="E31" s="76" t="s">
        <v>36</v>
      </c>
      <c r="F31" s="76" t="s">
        <v>37</v>
      </c>
      <c r="G31" s="76" t="s">
        <v>38</v>
      </c>
      <c r="H31" s="76" t="s">
        <v>39</v>
      </c>
      <c r="I31" s="76" t="s">
        <v>42</v>
      </c>
      <c r="J31" s="77" t="s">
        <v>74</v>
      </c>
    </row>
    <row r="32" spans="2:12">
      <c r="B32" s="89" t="s">
        <v>57</v>
      </c>
      <c r="C32" s="102" t="str">
        <f>IF(C34&lt;&gt;"",C34/(Dateneingabe!$E$12*1000*Dateneingabe!$D$34)*3600,"")</f>
        <v/>
      </c>
      <c r="D32" s="102">
        <f>IF(D34&lt;&gt;"",D34/(Dateneingabe!$E$12*1000*Dateneingabe!$D$34)*3600,"")</f>
        <v>3.0275579139002988</v>
      </c>
      <c r="E32" s="102">
        <f>IF(E34&lt;&gt;"",E34/(Dateneingabe!$E$12*1000*Dateneingabe!$D$34)*3600,"")</f>
        <v>1.4491113349656812</v>
      </c>
      <c r="F32" s="102">
        <f>IF(F34&lt;&gt;"",F34/(Dateneingabe!$E$12*1000*Dateneingabe!$D$34)*3600,"")</f>
        <v>1.6413811254375741</v>
      </c>
      <c r="G32" s="102">
        <f>IF(G34&lt;&gt;"",G34/(Dateneingabe!$E$12*1000*Dateneingabe!$D$34)*3600,"")</f>
        <v>1.7480198121167485</v>
      </c>
      <c r="H32" s="102">
        <f>IF(H34&lt;&gt;"",H34/(Dateneingabe!$E$12*1000*Dateneingabe!$D$34)*3600,"")</f>
        <v>1.9794397714441765</v>
      </c>
      <c r="I32" s="102" t="str">
        <f>IF(I34&lt;&gt;"",I34/(Dateneingabe!$E$12*1000*Dateneingabe!$D$34)*3600,"")</f>
        <v/>
      </c>
      <c r="J32" s="87"/>
    </row>
    <row r="33" spans="2:10">
      <c r="B33" s="89" t="s">
        <v>64</v>
      </c>
      <c r="C33" s="116" t="str">
        <f>IF(Dateneingabe!E16&lt;&gt;"",Dateneingabe!E16,"")</f>
        <v/>
      </c>
      <c r="D33" s="114">
        <f>IF(Dateneingabe!E17&lt;&gt;"",Dateneingabe!E17,"")</f>
        <v>11</v>
      </c>
      <c r="E33" s="114">
        <f>IF(Dateneingabe!E18&lt;&gt;"",Dateneingabe!E18,"")</f>
        <v>20</v>
      </c>
      <c r="F33" s="114">
        <f>IF(Dateneingabe!E19&lt;&gt;"",Dateneingabe!E19,"")</f>
        <v>20</v>
      </c>
      <c r="G33" s="114">
        <f>IF(Dateneingabe!E20&lt;&gt;"",Dateneingabe!E20,"")</f>
        <v>18</v>
      </c>
      <c r="H33" s="114">
        <f>IF(Dateneingabe!E21&lt;&gt;"",Dateneingabe!E21,"")</f>
        <v>17</v>
      </c>
      <c r="I33" s="115" t="str">
        <f>IF(Dateneingabe!E22&lt;&gt;"",Dateneingabe!E22,"")</f>
        <v/>
      </c>
      <c r="J33" s="87"/>
    </row>
    <row r="34" spans="2:10">
      <c r="B34" s="89" t="s">
        <v>58</v>
      </c>
      <c r="C34" s="102" t="str">
        <f>IF(C33&lt;&gt;"",(Dateneingabe!$D$30*Dateneingabe!$E$10*(Dateneingabe!$D$28-Dateneingabe!C16)*(24-Dateneingabe!F17)/1000+Dateneingabe!$D$30*Dateneingabe!$E$10*(Dateneingabe!$D$28-Dateneingabe!D16)*(Dateneingabe!F16)/1000)+(Dateneingabe!$D$31*Dateneingabe!$E$11*(Dateneingabe!$D$28-Dateneingabe!C16)*24/1000)+(Dateneingabe!$D$32*Dateneingabe!$E$10*(Dateneingabe!$D$28-Dateneingabe!C16)*24/1000),"")</f>
        <v/>
      </c>
      <c r="D34" s="102">
        <f>IF(D33&lt;&gt;"",(Dateneingabe!$D$30*Dateneingabe!$E$10*(Dateneingabe!$D$28-Dateneingabe!C17)*(24-Dateneingabe!F17)/1000+Dateneingabe!$D$30*Dateneingabe!$E$10*(Dateneingabe!$D$28-Dateneingabe!D17)*(Dateneingabe!F17)/1000)+(Dateneingabe!$D$31*Dateneingabe!$E$11*(Dateneingabe!$D$28-Dateneingabe!C17)*24/1000)+(Dateneingabe!$D$32*Dateneingabe!$E$10*(Dateneingabe!$D$28-Dateneingabe!C17)*24/1000),"")</f>
        <v>77.737315747778879</v>
      </c>
      <c r="E34" s="102">
        <f>IF(E33&lt;&gt;"",(Dateneingabe!$D$30*Dateneingabe!$E$10*(Dateneingabe!$D$28-Dateneingabe!C18)*(24-Dateneingabe!F18)/1000+Dateneingabe!$D$30*Dateneingabe!$E$10*(Dateneingabe!$D$28-Dateneingabe!D18)*(Dateneingabe!F18)/1000)+(Dateneingabe!$D$31*Dateneingabe!$E$11*(Dateneingabe!$D$28-Dateneingabe!C18)*24/1000)+(Dateneingabe!$D$32*Dateneingabe!$E$10*(Dateneingabe!$D$28-Dateneingabe!C18)*24/1000),"")</f>
        <v>37.208214872689048</v>
      </c>
      <c r="F34" s="102">
        <f>IF(F33&lt;&gt;"",(Dateneingabe!$D$30*Dateneingabe!$E$10*(Dateneingabe!$D$28-Dateneingabe!C19)*(24-Dateneingabe!F19)/1000+Dateneingabe!$D$30*Dateneingabe!$E$10*(Dateneingabe!$D$28-Dateneingabe!D19)*(Dateneingabe!F19)/1000)+(Dateneingabe!$D$31*Dateneingabe!$E$11*(Dateneingabe!$D$28-Dateneingabe!C19)*24/1000)+(Dateneingabe!$D$32*Dateneingabe!$E$10*(Dateneingabe!$D$28-Dateneingabe!C19)*24/1000),"")</f>
        <v>42.145044434907959</v>
      </c>
      <c r="G34" s="102">
        <f>IF(G33&lt;&gt;"",(Dateneingabe!$D$30*Dateneingabe!$E$10*(Dateneingabe!$D$28-Dateneingabe!C20)*(24-Dateneingabe!F20)/1000+Dateneingabe!$D$30*Dateneingabe!$E$10*(Dateneingabe!$D$28-Dateneingabe!D20)*(Dateneingabe!F20)/1000)+(Dateneingabe!$D$31*Dateneingabe!$E$11*(Dateneingabe!$D$28-Dateneingabe!C20)*24/1000)+(Dateneingabe!$D$32*Dateneingabe!$E$10*(Dateneingabe!$D$28-Dateneingabe!C20)*24/1000),"")</f>
        <v>44.883160597524309</v>
      </c>
      <c r="H34" s="102">
        <f>IF(H33&lt;&gt;"",(Dateneingabe!$D$30*Dateneingabe!$E$10*(Dateneingabe!$D$28-Dateneingabe!C21)*(24-Dateneingabe!F21)/1000+Dateneingabe!$D$30*Dateneingabe!$E$10*(Dateneingabe!$D$28-Dateneingabe!D21)*(Dateneingabe!F21)/1000)+(Dateneingabe!$D$31*Dateneingabe!$E$11*(Dateneingabe!$D$28-Dateneingabe!C21)*24/1000)+(Dateneingabe!$D$32*Dateneingabe!$E$10*(Dateneingabe!$D$28-Dateneingabe!C21)*24/1000),"")</f>
        <v>50.825232379529808</v>
      </c>
      <c r="I34" s="103" t="str">
        <f>IF(I33&lt;&gt;"",(Dateneingabe!$D$30*Dateneingabe!$E$10*(Dateneingabe!$D$28-Dateneingabe!C22)*(24-Dateneingabe!F22)/1000+Dateneingabe!$D$30*Dateneingabe!$E$10*(Dateneingabe!$D$28-Dateneingabe!D22)*(Dateneingabe!F22)/1000)+(Dateneingabe!$D$31*Dateneingabe!$E$11*(Dateneingabe!$D$28-Dateneingabe!C22)*24/1000)+(Dateneingabe!$D$32*Dateneingabe!$E$10*(Dateneingabe!$D$28-Dateneingabe!C22)*24/1000),"")</f>
        <v/>
      </c>
      <c r="J34" s="88"/>
    </row>
    <row r="35" spans="2:10" ht="15.75" thickBot="1">
      <c r="B35" s="94"/>
      <c r="C35" s="91"/>
      <c r="D35" s="92"/>
      <c r="E35" s="92"/>
      <c r="F35" s="92"/>
      <c r="G35" s="92"/>
      <c r="H35" s="92"/>
      <c r="I35" s="93"/>
      <c r="J35" s="94"/>
    </row>
    <row r="36" spans="2:10">
      <c r="B36" s="104" t="s">
        <v>53</v>
      </c>
      <c r="C36" s="151" t="str">
        <f>IF(C43="Laufzeit!","",C42)</f>
        <v/>
      </c>
      <c r="D36" s="151">
        <f>IF(D43="Laufzeit!","",D42)</f>
        <v>182.60546769705832</v>
      </c>
      <c r="E36" s="151">
        <f t="shared" ref="E36:I36" si="0">IF(E43="Laufzeit!","",E42)</f>
        <v>62.093381229357597</v>
      </c>
      <c r="F36" s="151">
        <f t="shared" si="0"/>
        <v>72.676403960208518</v>
      </c>
      <c r="G36" s="151">
        <f t="shared" si="0"/>
        <v>81.317257834335322</v>
      </c>
      <c r="H36" s="151">
        <f t="shared" si="0"/>
        <v>91.427182450508425</v>
      </c>
      <c r="I36" s="151" t="str">
        <f t="shared" si="0"/>
        <v/>
      </c>
      <c r="J36" s="152"/>
    </row>
    <row r="37" spans="2:10">
      <c r="B37" s="89" t="s">
        <v>73</v>
      </c>
      <c r="C37" s="109" t="str">
        <f>IF(C34&lt;&gt;"",Hilfsdaten!$H$23*Wärmepumpe!C33+Hilfsdaten!$I$23,"")</f>
        <v/>
      </c>
      <c r="D37" s="110">
        <f>IF(D34&lt;&gt;"",Hilfsdaten!$H$23*Wärmepumpe!D33+Hilfsdaten!$I$23,"")</f>
        <v>9.045454545454545</v>
      </c>
      <c r="E37" s="110">
        <f>IF(E34&lt;&gt;"",Hilfsdaten!$H$23*Wärmepumpe!E33+Hilfsdaten!$I$23,"")</f>
        <v>12.318181818181818</v>
      </c>
      <c r="F37" s="110">
        <f>IF(F34&lt;&gt;"",Hilfsdaten!$H$23*Wärmepumpe!F33+Hilfsdaten!$I$23,"")</f>
        <v>12.318181818181818</v>
      </c>
      <c r="G37" s="110">
        <f>IF(G34&lt;&gt;"",Hilfsdaten!$H$23*Wärmepumpe!G33+Hilfsdaten!$I$23,"")</f>
        <v>11.59090909090909</v>
      </c>
      <c r="H37" s="110">
        <f>IF(H34&lt;&gt;"",Hilfsdaten!$H$23*Wärmepumpe!H33+Hilfsdaten!$I$23,"")</f>
        <v>11.227272727272727</v>
      </c>
      <c r="I37" s="122" t="str">
        <f>IF(I34&lt;&gt;"",Hilfsdaten!$H$23*Wärmepumpe!I33+Hilfsdaten!$I$23,"")</f>
        <v/>
      </c>
      <c r="J37" s="90"/>
    </row>
    <row r="38" spans="2:10">
      <c r="B38" s="89" t="s">
        <v>61</v>
      </c>
      <c r="C38" s="109" t="str">
        <f>IF(C33&lt;&gt;"",Wärmepumpe!C33*Hilfsdaten!$D$23+Hilfsdaten!$E$23,"")</f>
        <v/>
      </c>
      <c r="D38" s="110">
        <f>IF(D33&lt;&gt;"",Wärmepumpe!D33*Hilfsdaten!$D$23+Hilfsdaten!$E$23,"")</f>
        <v>4.0826345290197787</v>
      </c>
      <c r="E38" s="110">
        <f>IF(E33&lt;&gt;"",Wärmepumpe!E33*Hilfsdaten!$D$23+Hilfsdaten!$E$23,"")</f>
        <v>5.2133007251881578</v>
      </c>
      <c r="F38" s="110">
        <f>IF(F33&lt;&gt;"",Wärmepumpe!F33*Hilfsdaten!$D$23+Hilfsdaten!$E$23,"")</f>
        <v>5.2133007251881578</v>
      </c>
      <c r="G38" s="110">
        <f>IF(G33&lt;&gt;"",Wärmepumpe!G33*Hilfsdaten!$D$23+Hilfsdaten!$E$23,"")</f>
        <v>4.9620415704840735</v>
      </c>
      <c r="H38" s="110">
        <f>IF(H33&lt;&gt;"",Wärmepumpe!H33*Hilfsdaten!$D$23+Hilfsdaten!$E$23,"")</f>
        <v>4.8364119931320317</v>
      </c>
      <c r="I38" s="122" t="str">
        <f>IF(I33&lt;&gt;"",Wärmepumpe!I33*Hilfsdaten!$D$23+Hilfsdaten!$E$23,"")</f>
        <v/>
      </c>
      <c r="J38" s="90"/>
    </row>
    <row r="39" spans="2:10">
      <c r="B39" s="89" t="s">
        <v>79</v>
      </c>
      <c r="C39" s="84" t="str">
        <f>IF(C34&lt;&gt;"",C34/C37,"")</f>
        <v/>
      </c>
      <c r="D39" s="80">
        <f t="shared" ref="D39:I39" si="1">IF(D34&lt;&gt;"",D34/D37,"")</f>
        <v>8.5940751077946498</v>
      </c>
      <c r="E39" s="80">
        <f t="shared" si="1"/>
        <v>3.0205930892957897</v>
      </c>
      <c r="F39" s="80">
        <f t="shared" si="1"/>
        <v>3.4213689209150373</v>
      </c>
      <c r="G39" s="80">
        <f t="shared" si="1"/>
        <v>3.8722726790020978</v>
      </c>
      <c r="H39" s="80">
        <f t="shared" si="1"/>
        <v>4.5269437746949626</v>
      </c>
      <c r="I39" s="123" t="str">
        <f t="shared" si="1"/>
        <v/>
      </c>
      <c r="J39" s="90"/>
    </row>
    <row r="40" spans="2:10">
      <c r="B40" s="89" t="s">
        <v>114</v>
      </c>
      <c r="C40" s="126" t="str">
        <f>IF(C39&lt;&gt;"",C37/C38*C39*30,"")</f>
        <v/>
      </c>
      <c r="D40" s="127">
        <f>IF(D39&lt;&gt;"",D37/D38*D39*31,"")</f>
        <v>590.27002565417979</v>
      </c>
      <c r="E40" s="127">
        <f>IF(E39&lt;&gt;"",E37/E38*E39*30,"")</f>
        <v>214.11510768744</v>
      </c>
      <c r="F40" s="127">
        <f>IF(F39&lt;&gt;"",F37/F38*F39*31,"")</f>
        <v>250.60828951796043</v>
      </c>
      <c r="G40" s="127">
        <f>IF(G39&lt;&gt;"",G37/G38*G39*31,"")</f>
        <v>280.404337359777</v>
      </c>
      <c r="H40" s="127">
        <f>IF(H39&lt;&gt;"",H37/H38*H39*30,"")</f>
        <v>315.26614638106355</v>
      </c>
      <c r="I40" s="128" t="str">
        <f>IF(I39&lt;&gt;"",I37/I38*I39*31,"")</f>
        <v/>
      </c>
      <c r="J40" s="124">
        <f>SUM(C40:I40)</f>
        <v>1650.6639066004209</v>
      </c>
    </row>
    <row r="41" spans="2:10">
      <c r="B41" s="89" t="s">
        <v>113</v>
      </c>
      <c r="C41" s="126">
        <f>IF(AND(C$32&lt;&gt;"",C39&gt;Dateneingabe!$C$44),(C39-Dateneingabe!$C$44)*Dateneingabe!$E$41*30,0)</f>
        <v>0</v>
      </c>
      <c r="D41" s="127">
        <f>IF(AND(D$32&lt;&gt;"",D39&gt;Dateneingabe!$C$45),(D39-Dateneingabe!$C$45)*Dateneingabe!$E$41*31,0)</f>
        <v>39.404000887400727</v>
      </c>
      <c r="E41" s="127">
        <f>IF(AND(E$32&lt;&gt;"",E39&gt;Dateneingabe!$C$46),(E39-Dateneingabe!$C$46)*Dateneingabe!$E$41*30,0)</f>
        <v>0</v>
      </c>
      <c r="F41" s="127">
        <f>IF(AND(F$32&lt;&gt;"",F39&gt;Dateneingabe!$C$47),(F39-Dateneingabe!$C$47)*Dateneingabe!$E$41*31,0)</f>
        <v>0</v>
      </c>
      <c r="G41" s="127">
        <f>IF(AND(G$32&lt;&gt;"",G39&gt;Dateneingabe!$C$48),(G39-Dateneingabe!$C$48)*Dateneingabe!$E$41*31,0)</f>
        <v>0</v>
      </c>
      <c r="H41" s="127">
        <f>IF(AND(H$32&lt;&gt;"",H39&gt;Dateneingabe!$C$49),(H39-Dateneingabe!$C$49)*Dateneingabe!$E$41*30,0)</f>
        <v>0</v>
      </c>
      <c r="I41" s="129">
        <f>IF(AND(I$32&lt;&gt;"",I39&gt;Dateneingabe!$C$50),(I39-Dateneingabe!$C$50)*Dateneingabe!$E$41*31,0)</f>
        <v>0</v>
      </c>
      <c r="J41" s="124"/>
    </row>
    <row r="42" spans="2:10">
      <c r="B42" s="89" t="s">
        <v>111</v>
      </c>
      <c r="C42" s="126" t="str">
        <f>IF(C40&lt;&gt;"",(C40+C41)*Dateneingabe!$D$26,"")</f>
        <v/>
      </c>
      <c r="D42" s="127">
        <f>IF(D40&lt;&gt;"",(D40+D41)*Dateneingabe!$D$26,"")</f>
        <v>182.60546769705832</v>
      </c>
      <c r="E42" s="127">
        <f>IF(E40&lt;&gt;"",(E40+E41)*Dateneingabe!$D$26,"")</f>
        <v>62.093381229357597</v>
      </c>
      <c r="F42" s="127">
        <f>IF(F40&lt;&gt;"",(F40+F41)*Dateneingabe!$D$26,"")</f>
        <v>72.676403960208518</v>
      </c>
      <c r="G42" s="127">
        <f>IF(G40&lt;&gt;"",(G40+G41)*Dateneingabe!$D$26,"")</f>
        <v>81.317257834335322</v>
      </c>
      <c r="H42" s="127">
        <f>IF(H40&lt;&gt;"",(H40+H41)*Dateneingabe!$D$26,"")</f>
        <v>91.427182450508425</v>
      </c>
      <c r="I42" s="129" t="str">
        <f>IF(I40&lt;&gt;"",(I40+I41)*Dateneingabe!$D$26,"")</f>
        <v/>
      </c>
      <c r="J42" s="124">
        <f>SUM(C42:I42)</f>
        <v>490.11969317146816</v>
      </c>
    </row>
    <row r="43" spans="2:10">
      <c r="B43" s="144"/>
      <c r="C43" s="146" t="str">
        <f>IF(AND(C$32&lt;&gt;"",C39&gt;Dateneingabe!$D$44),"Laufzeit!","")</f>
        <v/>
      </c>
      <c r="D43" s="147" t="str">
        <f>IF(AND(D$32&lt;&gt;"",D39&gt;Dateneingabe!$D$45),"Laufzeit!","")</f>
        <v/>
      </c>
      <c r="E43" s="147" t="str">
        <f>IF(AND(E$32&lt;&gt;"",E39&gt;Dateneingabe!$D$46),"Laufzeit!","")</f>
        <v/>
      </c>
      <c r="F43" s="147" t="str">
        <f>IF(AND(F$32&lt;&gt;"",F39&gt;Dateneingabe!$D$47),"Laufzeit!","")</f>
        <v/>
      </c>
      <c r="G43" s="147" t="str">
        <f>IF(AND(G$32&lt;&gt;"",G39&gt;Dateneingabe!$D$48),"Laufzeit!","")</f>
        <v/>
      </c>
      <c r="H43" s="147" t="str">
        <f>IF(AND(H$32&lt;&gt;"",H39&gt;Dateneingabe!$D$49),"Laufzeit!","")</f>
        <v/>
      </c>
      <c r="I43" s="148" t="str">
        <f>IF(AND(I$32&lt;&gt;"",I39&gt;Dateneingabe!$D$50),"Laufzeit!","")</f>
        <v/>
      </c>
      <c r="J43" s="145"/>
    </row>
    <row r="44" spans="2:10" ht="15.75" thickBot="1">
      <c r="B44" s="94"/>
      <c r="C44" s="91"/>
      <c r="D44" s="92"/>
      <c r="E44" s="92"/>
      <c r="F44" s="92"/>
      <c r="G44" s="92"/>
      <c r="H44" s="92"/>
      <c r="I44" s="93"/>
      <c r="J44" s="94"/>
    </row>
    <row r="45" spans="2:10">
      <c r="B45" s="104" t="s">
        <v>54</v>
      </c>
      <c r="C45" s="151" t="str">
        <f>IF(C52="Laufzeit!","",C51)</f>
        <v/>
      </c>
      <c r="D45" s="151" t="str">
        <f>IF(D52="Laufzeit!","",D51)</f>
        <v/>
      </c>
      <c r="E45" s="151">
        <f t="shared" ref="E45:I45" si="2">IF(E52="Laufzeit!","",E51)</f>
        <v>39.619762596009359</v>
      </c>
      <c r="F45" s="151">
        <f t="shared" si="2"/>
        <v>46.372444441369097</v>
      </c>
      <c r="G45" s="151">
        <f t="shared" si="2"/>
        <v>53.730599244614837</v>
      </c>
      <c r="H45" s="151">
        <f t="shared" si="2"/>
        <v>74.367440722895907</v>
      </c>
      <c r="I45" s="151" t="str">
        <f t="shared" si="2"/>
        <v/>
      </c>
      <c r="J45" s="152"/>
    </row>
    <row r="46" spans="2:10">
      <c r="B46" s="89" t="s">
        <v>73</v>
      </c>
      <c r="C46" s="109" t="str">
        <f>IF(C34&lt;&gt;"",Hilfsdaten!$H$24*Wärmepumpe!C33+Hilfsdaten!$I$24,"")</f>
        <v/>
      </c>
      <c r="D46" s="110">
        <f>IF(D34&lt;&gt;"",Hilfsdaten!$H$24*Wärmepumpe!D33+Hilfsdaten!$I$24,"")</f>
        <v>4.5418181818181829</v>
      </c>
      <c r="E46" s="110">
        <f>IF(E34&lt;&gt;"",Hilfsdaten!$H$24*Wärmepumpe!E33+Hilfsdaten!$I$24,"")</f>
        <v>6.2027272727272731</v>
      </c>
      <c r="F46" s="110">
        <f>IF(F34&lt;&gt;"",Hilfsdaten!$H$24*Wärmepumpe!F33+Hilfsdaten!$I$24,"")</f>
        <v>6.2027272727272731</v>
      </c>
      <c r="G46" s="110">
        <f>IF(G34&lt;&gt;"",Hilfsdaten!$H$24*Wärmepumpe!G33+Hilfsdaten!$I$24,"")</f>
        <v>5.833636363636364</v>
      </c>
      <c r="H46" s="110">
        <f>IF(H34&lt;&gt;"",Hilfsdaten!$H$24*Wärmepumpe!H33+Hilfsdaten!$I$24,"")</f>
        <v>5.6490909090909094</v>
      </c>
      <c r="I46" s="122" t="str">
        <f>IF(I34&lt;&gt;"",Hilfsdaten!$H$24*Wärmepumpe!I33+Hilfsdaten!$I$24,"")</f>
        <v/>
      </c>
      <c r="J46" s="90"/>
    </row>
    <row r="47" spans="2:10">
      <c r="B47" s="89" t="s">
        <v>61</v>
      </c>
      <c r="C47" s="109" t="str">
        <f>IF(C33&lt;&gt;"",Wärmepumpe!C33*Hilfsdaten!$D$24+Hilfsdaten!$E$24,"")</f>
        <v/>
      </c>
      <c r="D47" s="110">
        <f>IF(D33&lt;&gt;"",Wärmepumpe!D33*Hilfsdaten!$D$24+Hilfsdaten!$E$24,"")</f>
        <v>5.1969696969696964</v>
      </c>
      <c r="E47" s="110">
        <f>IF(E33&lt;&gt;"",Wärmepumpe!E33*Hilfsdaten!$D$24+Hilfsdaten!$E$24,"")</f>
        <v>8.170454545454545</v>
      </c>
      <c r="F47" s="110">
        <f>IF(F33&lt;&gt;"",Wärmepumpe!F33*Hilfsdaten!$D$24+Hilfsdaten!$E$24,"")</f>
        <v>8.170454545454545</v>
      </c>
      <c r="G47" s="110">
        <f>IF(G33&lt;&gt;"",Wärmepumpe!G33*Hilfsdaten!$D$24+Hilfsdaten!$E$24,"")</f>
        <v>7.5096801346801341</v>
      </c>
      <c r="H47" s="110">
        <f>IF(H33&lt;&gt;"",Wärmepumpe!H33*Hilfsdaten!$D$24+Hilfsdaten!$E$24,"")</f>
        <v>7.1792929292929282</v>
      </c>
      <c r="I47" s="122" t="str">
        <f>IF(I33&lt;&gt;"",Wärmepumpe!I33*Hilfsdaten!$D$24+Hilfsdaten!$E$24,"")</f>
        <v/>
      </c>
      <c r="J47" s="90"/>
    </row>
    <row r="48" spans="2:10">
      <c r="B48" s="89" t="s">
        <v>79</v>
      </c>
      <c r="C48" s="84" t="str">
        <f>IF(C34&lt;&gt;"",C34/C46,"")</f>
        <v/>
      </c>
      <c r="D48" s="80">
        <f t="shared" ref="D48:I48" si="3">IF(D34&lt;&gt;"",D34/D46,"")</f>
        <v>17.115902186260357</v>
      </c>
      <c r="E48" s="80">
        <f t="shared" si="3"/>
        <v>5.9986862611692731</v>
      </c>
      <c r="F48" s="80">
        <f t="shared" si="3"/>
        <v>6.7945989855486957</v>
      </c>
      <c r="G48" s="80">
        <f t="shared" si="3"/>
        <v>7.6938564215796692</v>
      </c>
      <c r="H48" s="80">
        <f t="shared" si="3"/>
        <v>8.9970639873644647</v>
      </c>
      <c r="I48" s="123" t="str">
        <f t="shared" si="3"/>
        <v/>
      </c>
      <c r="J48" s="90"/>
    </row>
    <row r="49" spans="2:10">
      <c r="B49" s="89" t="s">
        <v>114</v>
      </c>
      <c r="C49" s="126" t="str">
        <f>IF(C48&lt;&gt;"",C46/C47*C48*30,"")</f>
        <v/>
      </c>
      <c r="D49" s="127">
        <f>IF(D48&lt;&gt;"",D46/D47*D48*31,"")</f>
        <v>463.70422163252363</v>
      </c>
      <c r="E49" s="127">
        <f>IF(E48&lt;&gt;"",E46/E47*E48*30,"")</f>
        <v>136.61987102072194</v>
      </c>
      <c r="F49" s="127">
        <f>IF(F48&lt;&gt;"",F46/F47*F48*31,"")</f>
        <v>159.90498083230725</v>
      </c>
      <c r="G49" s="127">
        <f>IF(G48&lt;&gt;"",G46/G47*G48*31,"")</f>
        <v>185.27792842970635</v>
      </c>
      <c r="H49" s="127">
        <f>IF(H48&lt;&gt;"",H46/H47*H48*30,"")</f>
        <v>212.38261015434898</v>
      </c>
      <c r="I49" s="128" t="str">
        <f>IF(I48&lt;&gt;"",I46/I47*I48*31,"")</f>
        <v/>
      </c>
      <c r="J49" s="124">
        <f>SUM(C49:I49)</f>
        <v>1157.8896120696081</v>
      </c>
    </row>
    <row r="50" spans="2:10">
      <c r="B50" s="89" t="s">
        <v>113</v>
      </c>
      <c r="C50" s="126">
        <f>IF(AND(C$32&lt;&gt;"",C48&gt;Dateneingabe!$C$44),(C48-Dateneingabe!$C$44)*Dateneingabe!$E$41*30,0)</f>
        <v>0</v>
      </c>
      <c r="D50" s="127">
        <f>IF(AND(D$32&lt;&gt;"",D48&gt;Dateneingabe!$C$45),(D48-Dateneingabe!$C$45)*Dateneingabe!$E$41*31,0)</f>
        <v>168.85055420929481</v>
      </c>
      <c r="E50" s="127">
        <f>IF(AND(E$32&lt;&gt;"",E48&gt;Dateneingabe!$C$46),(E48-Dateneingabe!$C$46)*Dateneingabe!$E$41*30,0)</f>
        <v>0</v>
      </c>
      <c r="F50" s="127">
        <f>IF(AND(F$32&lt;&gt;"",F48&gt;Dateneingabe!$C$47),(F48-Dateneingabe!$C$47)*Dateneingabe!$E$41*31,0)</f>
        <v>0</v>
      </c>
      <c r="G50" s="127">
        <f>IF(AND(G$32&lt;&gt;"",G48&gt;Dateneingabe!$C$48),(G48-Dateneingabe!$C$48)*Dateneingabe!$E$41*31,0)</f>
        <v>0</v>
      </c>
      <c r="H50" s="127">
        <f>IF(AND(H$32&lt;&gt;"",H48&gt;Dateneingabe!$C$49),(H48-Dateneingabe!$C$49)*Dateneingabe!$E$41*30,0)</f>
        <v>44.056840614257631</v>
      </c>
      <c r="I50" s="129">
        <f>IF(AND(I$32&lt;&gt;"",I48&gt;Dateneingabe!$C$50),(I48-Dateneingabe!$C$50)*Dateneingabe!$E$41*31,0)</f>
        <v>0</v>
      </c>
      <c r="J50" s="124"/>
    </row>
    <row r="51" spans="2:10">
      <c r="B51" s="89" t="s">
        <v>111</v>
      </c>
      <c r="C51" s="126" t="str">
        <f>IF(C49&lt;&gt;"",(C49+C50)*Dateneingabe!$D$26,"")</f>
        <v/>
      </c>
      <c r="D51" s="127">
        <f>IF(D49&lt;&gt;"",(D49+D50)*Dateneingabe!$D$26,"")</f>
        <v>183.44088499412734</v>
      </c>
      <c r="E51" s="127">
        <f>IF(E49&lt;&gt;"",(E49+E50)*Dateneingabe!$D$26,"")</f>
        <v>39.619762596009359</v>
      </c>
      <c r="F51" s="127">
        <f>IF(F49&lt;&gt;"",(F49+F50)*Dateneingabe!$D$26,"")</f>
        <v>46.372444441369097</v>
      </c>
      <c r="G51" s="127">
        <f>IF(G49&lt;&gt;"",(G49+G50)*Dateneingabe!$D$26,"")</f>
        <v>53.730599244614837</v>
      </c>
      <c r="H51" s="127">
        <f>IF(H49&lt;&gt;"",(H49+H50)*Dateneingabe!$D$26,"")</f>
        <v>74.367440722895907</v>
      </c>
      <c r="I51" s="129" t="str">
        <f>IF(I49&lt;&gt;"",(I49+I50)*Dateneingabe!$D$26,"")</f>
        <v/>
      </c>
      <c r="J51" s="124">
        <f>SUM(C51:I51)</f>
        <v>397.53113199901657</v>
      </c>
    </row>
    <row r="52" spans="2:10">
      <c r="B52" s="144"/>
      <c r="C52" s="146" t="str">
        <f>IF(AND(C$32&lt;&gt;"",C48&gt;Dateneingabe!$D$44),"Laufzeit!","")</f>
        <v/>
      </c>
      <c r="D52" s="147" t="str">
        <f>IF(AND(D$32&lt;&gt;"",D48&gt;Dateneingabe!$D$45),"Laufzeit!","")</f>
        <v>Laufzeit!</v>
      </c>
      <c r="E52" s="147" t="str">
        <f>IF(AND(E$32&lt;&gt;"",E48&gt;Dateneingabe!$D$46),"Laufzeit!","")</f>
        <v/>
      </c>
      <c r="F52" s="147" t="str">
        <f>IF(AND(F$32&lt;&gt;"",F48&gt;Dateneingabe!$D$47),"Laufzeit!","")</f>
        <v/>
      </c>
      <c r="G52" s="147" t="str">
        <f>IF(AND(G$32&lt;&gt;"",G48&gt;Dateneingabe!$D$48),"Laufzeit!","")</f>
        <v/>
      </c>
      <c r="H52" s="147" t="str">
        <f>IF(AND(H$32&lt;&gt;"",H48&gt;Dateneingabe!$D$49),"Laufzeit!","")</f>
        <v/>
      </c>
      <c r="I52" s="148" t="str">
        <f>IF(AND(I$32&lt;&gt;"",I48&gt;Dateneingabe!$D$50),"Laufzeit!","")</f>
        <v/>
      </c>
      <c r="J52" s="145"/>
    </row>
    <row r="53" spans="2:10" ht="15.75" thickBot="1">
      <c r="B53" s="94"/>
      <c r="C53" s="91"/>
      <c r="D53" s="92"/>
      <c r="E53" s="92"/>
      <c r="F53" s="92"/>
      <c r="G53" s="92"/>
      <c r="H53" s="92"/>
      <c r="I53" s="93"/>
      <c r="J53" s="94"/>
    </row>
    <row r="54" spans="2:10">
      <c r="B54" s="104" t="s">
        <v>55</v>
      </c>
      <c r="C54" s="151" t="str">
        <f>IF(C61="Laufzeit!","",C60)</f>
        <v/>
      </c>
      <c r="D54" s="151" t="str">
        <f>IF(D61="Laufzeit!","",D60)</f>
        <v/>
      </c>
      <c r="E54" s="151" t="str">
        <f t="shared" ref="E54:I54" si="4">IF(E61="Laufzeit!","",E60)</f>
        <v/>
      </c>
      <c r="F54" s="151" t="str">
        <f t="shared" si="4"/>
        <v/>
      </c>
      <c r="G54" s="151" t="str">
        <f t="shared" si="4"/>
        <v/>
      </c>
      <c r="H54" s="151" t="str">
        <f t="shared" si="4"/>
        <v/>
      </c>
      <c r="I54" s="151" t="str">
        <f t="shared" si="4"/>
        <v/>
      </c>
      <c r="J54" s="152"/>
    </row>
    <row r="55" spans="2:10">
      <c r="B55" s="89" t="s">
        <v>73</v>
      </c>
      <c r="C55" s="109" t="str">
        <f>IF(C34&lt;&gt;"",Hilfsdaten!$H$25*Wärmepumpe!C33+Hilfsdaten!$I$25,"")</f>
        <v/>
      </c>
      <c r="D55" s="110">
        <f>IF(D34&lt;&gt;"",Hilfsdaten!$H$25*Wärmepumpe!D33+Hilfsdaten!$I$25,"")</f>
        <v>2.0181818181818185</v>
      </c>
      <c r="E55" s="110">
        <f>IF(E34&lt;&gt;"",Hilfsdaten!$H$25*Wärmepumpe!E33+Hilfsdaten!$I$25,"")</f>
        <v>2.1572727272727272</v>
      </c>
      <c r="F55" s="110">
        <f>IF(F34&lt;&gt;"",Hilfsdaten!$H$25*Wärmepumpe!F33+Hilfsdaten!$I$25,"")</f>
        <v>2.1572727272727272</v>
      </c>
      <c r="G55" s="110">
        <f>IF(G34&lt;&gt;"",Hilfsdaten!$H$25*Wärmepumpe!G33+Hilfsdaten!$I$25,"")</f>
        <v>2.1263636363636365</v>
      </c>
      <c r="H55" s="110">
        <f>IF(H34&lt;&gt;"",Hilfsdaten!$H$25*Wärmepumpe!H33+Hilfsdaten!$I$25,"")</f>
        <v>2.1109090909090908</v>
      </c>
      <c r="I55" s="122" t="str">
        <f>IF(I34&lt;&gt;"",Hilfsdaten!$H$25*Wärmepumpe!I33+Hilfsdaten!$I$25,"")</f>
        <v/>
      </c>
      <c r="J55" s="90"/>
    </row>
    <row r="56" spans="2:10">
      <c r="B56" s="89" t="s">
        <v>61</v>
      </c>
      <c r="C56" s="109" t="str">
        <f>IF(C33&lt;&gt;"",Wärmepumpe!C33*Hilfsdaten!$D$25+Hilfsdaten!$E$25,"")</f>
        <v/>
      </c>
      <c r="D56" s="110">
        <f>IF(D33&lt;&gt;"",Wärmepumpe!D33*Hilfsdaten!$D$25+Hilfsdaten!$E$25,"")</f>
        <v>5.0649350649350655</v>
      </c>
      <c r="E56" s="110">
        <f>IF(E33&lt;&gt;"",Wärmepumpe!E33*Hilfsdaten!$D$25+Hilfsdaten!$E$25,"")</f>
        <v>11.668831168831169</v>
      </c>
      <c r="F56" s="110">
        <f>IF(F33&lt;&gt;"",Wärmepumpe!F33*Hilfsdaten!$D$25+Hilfsdaten!$E$25,"")</f>
        <v>11.668831168831169</v>
      </c>
      <c r="G56" s="110">
        <f>IF(G33&lt;&gt;"",Wärmepumpe!G33*Hilfsdaten!$D$25+Hilfsdaten!$E$25,"")</f>
        <v>10.201298701298702</v>
      </c>
      <c r="H56" s="110">
        <f>IF(H33&lt;&gt;"",Wärmepumpe!H33*Hilfsdaten!$D$25+Hilfsdaten!$E$25,"")</f>
        <v>9.4675324675324681</v>
      </c>
      <c r="I56" s="122" t="str">
        <f>IF(I33&lt;&gt;"",Wärmepumpe!I33*Hilfsdaten!$D$25+Hilfsdaten!$E$25,"")</f>
        <v/>
      </c>
      <c r="J56" s="90"/>
    </row>
    <row r="57" spans="2:10">
      <c r="B57" s="89" t="s">
        <v>79</v>
      </c>
      <c r="C57" s="84" t="str">
        <f>IF(C34&lt;&gt;"",C34/C55,"")</f>
        <v/>
      </c>
      <c r="D57" s="80">
        <f t="shared" ref="D57:I57" si="5">IF(D34&lt;&gt;"",D34/D55,"")</f>
        <v>38.518489784935475</v>
      </c>
      <c r="E57" s="80">
        <f t="shared" si="5"/>
        <v>17.247802932978487</v>
      </c>
      <c r="F57" s="80">
        <f t="shared" si="5"/>
        <v>19.536261642814477</v>
      </c>
      <c r="G57" s="80">
        <f t="shared" si="5"/>
        <v>21.107942136501386</v>
      </c>
      <c r="H57" s="80">
        <f t="shared" si="5"/>
        <v>24.077414133282854</v>
      </c>
      <c r="I57" s="123" t="str">
        <f t="shared" si="5"/>
        <v/>
      </c>
      <c r="J57" s="90"/>
    </row>
    <row r="58" spans="2:10">
      <c r="B58" s="89" t="s">
        <v>114</v>
      </c>
      <c r="C58" s="126" t="str">
        <f>IF(C57&lt;&gt;"",C55/C56*C57*30,"")</f>
        <v/>
      </c>
      <c r="D58" s="127">
        <f>IF(D57&lt;&gt;"",D55/D56*D57*31,"")</f>
        <v>475.79223766653377</v>
      </c>
      <c r="E58" s="127">
        <f>IF(E57&lt;&gt;"",E55/E56*E57*30,"")</f>
        <v>95.660519038299043</v>
      </c>
      <c r="F58" s="127">
        <f>IF(F57&lt;&gt;"",F55/F56*F57*31,"")</f>
        <v>111.96463112534813</v>
      </c>
      <c r="G58" s="127">
        <f>IF(G57&lt;&gt;"",G55/G56*G57*31,"")</f>
        <v>136.3922397788549</v>
      </c>
      <c r="H58" s="127">
        <f>IF(H57&lt;&gt;"",H55/H56*H57*30,"")</f>
        <v>161.05114786929195</v>
      </c>
      <c r="I58" s="128" t="str">
        <f>IF(I57&lt;&gt;"",I55/I56*I57*31,"")</f>
        <v/>
      </c>
      <c r="J58" s="124">
        <f>SUM(C58:I58)</f>
        <v>980.86077547832781</v>
      </c>
    </row>
    <row r="59" spans="2:10">
      <c r="B59" s="89" t="s">
        <v>113</v>
      </c>
      <c r="C59" s="126">
        <f>IF(AND(C$32&lt;&gt;"",C57&gt;Dateneingabe!$C$44),(C57-Dateneingabe!$C$44)*Dateneingabe!$E$41*30,0)</f>
        <v>0</v>
      </c>
      <c r="D59" s="127">
        <f>IF(AND(D$32&lt;&gt;"",D57&gt;Dateneingabe!$C$45),(D57-Dateneingabe!$C$45)*Dateneingabe!$E$41*31,0)</f>
        <v>493.95585983316982</v>
      </c>
      <c r="E59" s="127">
        <f>IF(AND(E$32&lt;&gt;"",E57&gt;Dateneingabe!$C$46),(E57-Dateneingabe!$C$46)*Dateneingabe!$E$41*30,0)</f>
        <v>135.94270311478377</v>
      </c>
      <c r="F59" s="127">
        <f>IF(AND(F$32&lt;&gt;"",F57&gt;Dateneingabe!$C$47),(F57-Dateneingabe!$C$47)*Dateneingabe!$E$41*31,0)</f>
        <v>144.85581435435191</v>
      </c>
      <c r="G59" s="127">
        <f>IF(AND(G$32&lt;&gt;"",G57&gt;Dateneingabe!$C$48),(G57-Dateneingabe!$C$48)*Dateneingabe!$E$41*31,0)</f>
        <v>199.10964105345604</v>
      </c>
      <c r="H59" s="127">
        <f>IF(AND(H$32&lt;&gt;"",H57&gt;Dateneingabe!$C$49),(H57-Dateneingabe!$C$49)*Dateneingabe!$E$41*30,0)</f>
        <v>265.73798775925792</v>
      </c>
      <c r="I59" s="129">
        <f>IF(AND(I$32&lt;&gt;"",I57&gt;Dateneingabe!$C$50),(I57-Dateneingabe!$C$50)*Dateneingabe!$E$41*31,0)</f>
        <v>0</v>
      </c>
      <c r="J59" s="124"/>
    </row>
    <row r="60" spans="2:10">
      <c r="B60" s="89" t="s">
        <v>111</v>
      </c>
      <c r="C60" s="126" t="str">
        <f>IF(C58&lt;&gt;"",(C58+C59)*Dateneingabe!$D$26,"")</f>
        <v/>
      </c>
      <c r="D60" s="127">
        <f>IF(D58&lt;&gt;"",(D58+D59)*Dateneingabe!$D$26,"")</f>
        <v>281.22694827491404</v>
      </c>
      <c r="E60" s="127">
        <f>IF(E58&lt;&gt;"",(E58+E59)*Dateneingabe!$D$26,"")</f>
        <v>67.164934424394005</v>
      </c>
      <c r="F60" s="127">
        <f>IF(F58&lt;&gt;"",(F58+F59)*Dateneingabe!$D$26,"")</f>
        <v>74.477929189112999</v>
      </c>
      <c r="G60" s="127">
        <f>IF(G58&lt;&gt;"",(G58+G59)*Dateneingabe!$D$26,"")</f>
        <v>97.295545441370166</v>
      </c>
      <c r="H60" s="127">
        <f>IF(H58&lt;&gt;"",(H58+H59)*Dateneingabe!$D$26,"")</f>
        <v>123.76884933227944</v>
      </c>
      <c r="I60" s="129" t="str">
        <f>IF(I58&lt;&gt;"",(I58+I59)*Dateneingabe!$D$26,"")</f>
        <v/>
      </c>
      <c r="J60" s="125">
        <f>SUM(C60:I60)</f>
        <v>643.93420666207066</v>
      </c>
    </row>
    <row r="61" spans="2:10">
      <c r="B61" s="144"/>
      <c r="C61" s="146" t="str">
        <f>IF(AND(C$32&lt;&gt;"",C57&gt;Dateneingabe!$D$44),"Laufzeit!","")</f>
        <v/>
      </c>
      <c r="D61" s="147" t="str">
        <f>IF(AND(D$32&lt;&gt;"",D57&gt;Dateneingabe!$D$45),"Laufzeit!","")</f>
        <v>Laufzeit!</v>
      </c>
      <c r="E61" s="147" t="str">
        <f>IF(AND(E$32&lt;&gt;"",E57&gt;Dateneingabe!$D$46),"Laufzeit!","")</f>
        <v>Laufzeit!</v>
      </c>
      <c r="F61" s="147" t="str">
        <f>IF(AND(F$32&lt;&gt;"",F57&gt;Dateneingabe!$D$47),"Laufzeit!","")</f>
        <v>Laufzeit!</v>
      </c>
      <c r="G61" s="147" t="str">
        <f>IF(AND(G$32&lt;&gt;"",G57&gt;Dateneingabe!$D$48),"Laufzeit!","")</f>
        <v>Laufzeit!</v>
      </c>
      <c r="H61" s="147" t="str">
        <f>IF(AND(H$32&lt;&gt;"",H57&gt;Dateneingabe!$D$49),"Laufzeit!","")</f>
        <v>Laufzeit!</v>
      </c>
      <c r="I61" s="148" t="str">
        <f>IF(AND(I$32&lt;&gt;"",I57&gt;Dateneingabe!$D$50),"Laufzeit!","")</f>
        <v/>
      </c>
      <c r="J61" s="145"/>
    </row>
    <row r="62" spans="2:10" ht="15.75" thickBot="1">
      <c r="B62" s="94"/>
      <c r="C62" s="91"/>
      <c r="D62" s="92"/>
      <c r="E62" s="92"/>
      <c r="F62" s="92"/>
      <c r="G62" s="92"/>
      <c r="H62" s="92"/>
      <c r="I62" s="93"/>
      <c r="J62" s="94"/>
    </row>
    <row r="63" spans="2:10">
      <c r="B63" s="100" t="s">
        <v>80</v>
      </c>
      <c r="C63" s="100" t="s">
        <v>112</v>
      </c>
    </row>
    <row r="64" spans="2:10" ht="15.75" thickBot="1">
      <c r="B64" s="100"/>
    </row>
    <row r="65" spans="2:16">
      <c r="B65" s="104" t="s">
        <v>106</v>
      </c>
      <c r="C65" s="105"/>
      <c r="D65" s="106"/>
      <c r="E65" s="106"/>
      <c r="F65" s="106"/>
      <c r="G65" s="106"/>
      <c r="H65" s="106"/>
      <c r="I65" s="107"/>
      <c r="J65" s="108"/>
      <c r="K65" s="194"/>
      <c r="L65" s="195"/>
      <c r="M65" s="196" t="s">
        <v>119</v>
      </c>
      <c r="N65" s="197"/>
      <c r="O65" s="197"/>
      <c r="P65" s="198"/>
    </row>
    <row r="66" spans="2:16">
      <c r="B66" s="89" t="s">
        <v>73</v>
      </c>
      <c r="C66" s="109" t="str">
        <f>IF(NOT(ISNA(HLOOKUP(C71,$C$36:$I$43,2,FALSE))),HLOOKUP(C71,$C$36:$I$43,2,FALSE),IF(NOT(ISNA(HLOOKUP(C71,$C$45:$I$52,2,FALSE))),HLOOKUP(C71,$C$45:$I$52,2,FALSE),HLOOKUP(C71,$C$54:$I$61,2,FALSE)))</f>
        <v/>
      </c>
      <c r="D66" s="110">
        <f>IF(NOT(ISNA(HLOOKUP(D71,$C$36:$I$43,2,FALSE))),HLOOKUP(D71,$C$36:$I$43,2,FALSE),IF(NOT(ISNA(HLOOKUP(D71,$C$45:$I$52,2,FALSE))),HLOOKUP(D71,$C$45:$I$52,2,FALSE),HLOOKUP(D71,$C$54:$I$61,2,FALSE)))</f>
        <v>9.045454545454545</v>
      </c>
      <c r="E66" s="110">
        <f t="shared" ref="E66:I66" si="6">IF(NOT(ISNA(HLOOKUP(E71,$C$36:$I$43,2,FALSE))),HLOOKUP(E71,$C$36:$I$43,2,FALSE),IF(NOT(ISNA(HLOOKUP(E71,$C$45:$I$52,2,FALSE))),HLOOKUP(E71,$C$45:$I$52,2,FALSE),HLOOKUP(E71,$C$54:$I$61,2,FALSE)))</f>
        <v>6.2027272727272731</v>
      </c>
      <c r="F66" s="110">
        <f t="shared" si="6"/>
        <v>6.2027272727272731</v>
      </c>
      <c r="G66" s="110">
        <f t="shared" si="6"/>
        <v>5.833636363636364</v>
      </c>
      <c r="H66" s="110">
        <f t="shared" si="6"/>
        <v>5.6490909090909094</v>
      </c>
      <c r="I66" s="122" t="str">
        <f t="shared" si="6"/>
        <v/>
      </c>
      <c r="J66" s="90"/>
      <c r="K66" s="194"/>
      <c r="L66" s="195"/>
      <c r="M66" s="193"/>
      <c r="N66" s="199"/>
      <c r="O66" s="199"/>
      <c r="P66" s="200"/>
    </row>
    <row r="67" spans="2:16">
      <c r="B67" s="89" t="s">
        <v>61</v>
      </c>
      <c r="C67" s="109" t="str">
        <f t="shared" ref="C67:I67" si="7">IF(NOT(ISNA(HLOOKUP(C71,$C$36:$I$43,3,FALSE))),HLOOKUP(C71,$C$36:$I$43,3,FALSE),IF(NOT(ISNA(HLOOKUP(C71,$C$45:$I$52,3,FALSE))),HLOOKUP(C71,$C$45:$I$52,3,FALSE),HLOOKUP(C71,$C$54:$I$61,3,FALSE)))</f>
        <v/>
      </c>
      <c r="D67" s="110">
        <f t="shared" si="7"/>
        <v>4.0826345290197787</v>
      </c>
      <c r="E67" s="110">
        <f t="shared" si="7"/>
        <v>8.170454545454545</v>
      </c>
      <c r="F67" s="110">
        <f t="shared" si="7"/>
        <v>8.170454545454545</v>
      </c>
      <c r="G67" s="110">
        <f t="shared" si="7"/>
        <v>7.5096801346801341</v>
      </c>
      <c r="H67" s="110">
        <f t="shared" si="7"/>
        <v>7.1792929292929282</v>
      </c>
      <c r="I67" s="122" t="str">
        <f t="shared" si="7"/>
        <v/>
      </c>
      <c r="J67" s="90"/>
      <c r="K67" s="194"/>
      <c r="L67" s="195"/>
      <c r="M67" s="193"/>
      <c r="N67" s="199"/>
      <c r="O67" s="199"/>
      <c r="P67" s="200"/>
    </row>
    <row r="68" spans="2:16">
      <c r="B68" s="89" t="s">
        <v>79</v>
      </c>
      <c r="C68" s="84" t="str">
        <f t="shared" ref="C68:I68" si="8">IF(NOT(ISNA(HLOOKUP(C71,$C$36:$I$43,4,FALSE))),HLOOKUP(C71,$C$36:$I$43,4,FALSE),IF(NOT(ISNA(HLOOKUP(C71,$C$45:$I$52,4,FALSE))),HLOOKUP(C71,$C$45:$I$52,4,FALSE),HLOOKUP(C71,$C$54:$I$61,4,FALSE)))</f>
        <v/>
      </c>
      <c r="D68" s="80">
        <f t="shared" si="8"/>
        <v>8.5940751077946498</v>
      </c>
      <c r="E68" s="80">
        <f t="shared" si="8"/>
        <v>5.9986862611692731</v>
      </c>
      <c r="F68" s="80">
        <f t="shared" si="8"/>
        <v>6.7945989855486957</v>
      </c>
      <c r="G68" s="80">
        <f t="shared" si="8"/>
        <v>7.6938564215796692</v>
      </c>
      <c r="H68" s="80">
        <f t="shared" si="8"/>
        <v>8.9970639873644647</v>
      </c>
      <c r="I68" s="123" t="str">
        <f t="shared" si="8"/>
        <v/>
      </c>
      <c r="J68" s="90"/>
      <c r="K68" s="194"/>
      <c r="L68" s="195"/>
      <c r="M68" s="193"/>
      <c r="N68" s="199"/>
      <c r="O68" s="199"/>
      <c r="P68" s="200"/>
    </row>
    <row r="69" spans="2:16">
      <c r="B69" s="89" t="s">
        <v>114</v>
      </c>
      <c r="C69" s="126" t="str">
        <f t="shared" ref="C69:I69" si="9">IF(NOT(ISNA(HLOOKUP(C71,$C$36:$I$43,5,FALSE))),HLOOKUP(C71,$C$36:$I$43,5,FALSE),IF(NOT(ISNA(HLOOKUP(C71,$C$45:$I$52,5,FALSE))),HLOOKUP(C71,$C$45:$I$52,5,FALSE),HLOOKUP(C71,$C$54:$I$61,5,FALSE)))</f>
        <v/>
      </c>
      <c r="D69" s="127">
        <f t="shared" si="9"/>
        <v>590.27002565417979</v>
      </c>
      <c r="E69" s="127">
        <f t="shared" si="9"/>
        <v>136.61987102072194</v>
      </c>
      <c r="F69" s="127">
        <f t="shared" si="9"/>
        <v>159.90498083230725</v>
      </c>
      <c r="G69" s="127">
        <f t="shared" si="9"/>
        <v>185.27792842970635</v>
      </c>
      <c r="H69" s="127">
        <f t="shared" si="9"/>
        <v>212.38261015434898</v>
      </c>
      <c r="I69" s="129" t="str">
        <f t="shared" si="9"/>
        <v/>
      </c>
      <c r="J69" s="124">
        <f>SUM(C69:I69)</f>
        <v>1284.4554160912644</v>
      </c>
      <c r="K69" s="194"/>
      <c r="L69" s="195"/>
      <c r="M69" s="193"/>
      <c r="N69" s="199"/>
      <c r="O69" s="199"/>
      <c r="P69" s="200"/>
    </row>
    <row r="70" spans="2:16">
      <c r="B70" s="89" t="s">
        <v>113</v>
      </c>
      <c r="C70" s="126">
        <f t="shared" ref="C70:I70" si="10">IF(NOT(ISNA(HLOOKUP(C71,$C$36:$I$43,6,FALSE))),HLOOKUP(C71,$C$36:$I$43,6,FALSE),IF(NOT(ISNA(HLOOKUP(C71,$C$45:$I$52,6,FALSE))),HLOOKUP(C71,$C$45:$I$52,6,FALSE),HLOOKUP(C71,$C$54:$I$61,6,FALSE)))</f>
        <v>0</v>
      </c>
      <c r="D70" s="127">
        <f t="shared" si="10"/>
        <v>39.404000887400727</v>
      </c>
      <c r="E70" s="127">
        <f t="shared" si="10"/>
        <v>0</v>
      </c>
      <c r="F70" s="127">
        <f t="shared" si="10"/>
        <v>0</v>
      </c>
      <c r="G70" s="127">
        <f t="shared" si="10"/>
        <v>0</v>
      </c>
      <c r="H70" s="127">
        <f t="shared" si="10"/>
        <v>44.056840614257631</v>
      </c>
      <c r="I70" s="129">
        <f t="shared" si="10"/>
        <v>0</v>
      </c>
      <c r="J70" s="124"/>
      <c r="K70" s="194"/>
      <c r="L70" s="195"/>
      <c r="M70" s="193"/>
      <c r="N70" s="199"/>
      <c r="O70" s="199"/>
      <c r="P70" s="200"/>
    </row>
    <row r="71" spans="2:16">
      <c r="B71" s="89" t="s">
        <v>111</v>
      </c>
      <c r="C71" s="126" t="str">
        <f>IF(MIN(C36,C45,C54)=0,"",MIN(C36,C45,C54))</f>
        <v/>
      </c>
      <c r="D71" s="127">
        <f t="shared" ref="D71:I71" si="11">IF(MIN(D36,D45,D54)=0,"",MIN(D36,D45,D54))</f>
        <v>182.60546769705832</v>
      </c>
      <c r="E71" s="127">
        <f t="shared" si="11"/>
        <v>39.619762596009359</v>
      </c>
      <c r="F71" s="127">
        <f t="shared" si="11"/>
        <v>46.372444441369097</v>
      </c>
      <c r="G71" s="127">
        <f t="shared" si="11"/>
        <v>53.730599244614837</v>
      </c>
      <c r="H71" s="127">
        <f t="shared" si="11"/>
        <v>74.367440722895907</v>
      </c>
      <c r="I71" s="129" t="str">
        <f t="shared" si="11"/>
        <v/>
      </c>
      <c r="J71" s="125">
        <f>SUM(C71:I71)</f>
        <v>396.69571470194751</v>
      </c>
      <c r="K71" s="194"/>
      <c r="L71" s="195"/>
      <c r="M71" s="193"/>
      <c r="N71" s="199"/>
      <c r="O71" s="199"/>
      <c r="P71" s="200"/>
    </row>
    <row r="72" spans="2:16" ht="15.75" thickBot="1">
      <c r="B72" s="94"/>
      <c r="C72" s="91"/>
      <c r="D72" s="92"/>
      <c r="E72" s="92"/>
      <c r="F72" s="92"/>
      <c r="G72" s="92"/>
      <c r="H72" s="92"/>
      <c r="I72" s="149"/>
      <c r="J72" s="94"/>
      <c r="K72" s="194"/>
      <c r="L72" s="195"/>
      <c r="M72" s="201"/>
      <c r="N72" s="202"/>
      <c r="O72" s="202"/>
      <c r="P72" s="203"/>
    </row>
    <row r="73" spans="2:16">
      <c r="B73" s="100" t="s">
        <v>80</v>
      </c>
      <c r="C73" s="100" t="s">
        <v>112</v>
      </c>
    </row>
    <row r="74" spans="2:16">
      <c r="B74" s="2"/>
      <c r="C74" s="2"/>
      <c r="D74" s="2"/>
      <c r="E74" s="2"/>
      <c r="F74" s="2"/>
      <c r="G74" s="2"/>
      <c r="H74" s="2"/>
      <c r="I74" s="2"/>
      <c r="J74" s="2"/>
    </row>
    <row r="75" spans="2:16" ht="17.25" customHeight="1">
      <c r="B75" s="153" t="s">
        <v>98</v>
      </c>
    </row>
    <row r="76" spans="2:16" ht="17.25" customHeight="1" thickBot="1"/>
    <row r="77" spans="2:16" ht="17.25" customHeight="1">
      <c r="B77" s="95"/>
      <c r="C77" s="81" t="s">
        <v>41</v>
      </c>
      <c r="D77" s="76" t="s">
        <v>35</v>
      </c>
      <c r="E77" s="76" t="s">
        <v>36</v>
      </c>
      <c r="F77" s="76" t="s">
        <v>37</v>
      </c>
      <c r="G77" s="76" t="s">
        <v>38</v>
      </c>
      <c r="H77" s="76" t="s">
        <v>39</v>
      </c>
      <c r="I77" s="76" t="s">
        <v>42</v>
      </c>
      <c r="J77" s="77" t="s">
        <v>74</v>
      </c>
    </row>
    <row r="78" spans="2:16" ht="17.25" customHeight="1">
      <c r="B78" s="89" t="s">
        <v>57</v>
      </c>
      <c r="C78" s="82">
        <v>4</v>
      </c>
      <c r="D78" s="78">
        <v>3</v>
      </c>
      <c r="E78" s="78">
        <v>1.5</v>
      </c>
      <c r="F78" s="78">
        <v>1.5</v>
      </c>
      <c r="G78" s="78">
        <v>2</v>
      </c>
      <c r="H78" s="78">
        <v>2</v>
      </c>
      <c r="I78" s="85">
        <v>3</v>
      </c>
      <c r="J78" s="87"/>
    </row>
    <row r="79" spans="2:16" ht="17.25" customHeight="1">
      <c r="B79" s="89" t="s">
        <v>64</v>
      </c>
      <c r="C79" s="83" t="str">
        <f>IF(Dateneingabe!E16&lt;&gt;"",Dateneingabe!E16,"")</f>
        <v/>
      </c>
      <c r="D79" s="79">
        <f>IF(Dateneingabe!E17&lt;&gt;"",Dateneingabe!E17,"")</f>
        <v>11</v>
      </c>
      <c r="E79" s="79">
        <f>IF(Dateneingabe!E18&lt;&gt;"",Dateneingabe!E18,"")</f>
        <v>20</v>
      </c>
      <c r="F79" s="79">
        <f>IF(Dateneingabe!E19&lt;&gt;"",Dateneingabe!E19,"")</f>
        <v>20</v>
      </c>
      <c r="G79" s="79">
        <f>IF(Dateneingabe!E20&lt;&gt;"",Dateneingabe!E20,"")</f>
        <v>18</v>
      </c>
      <c r="H79" s="79">
        <f>IF(Dateneingabe!E21&lt;&gt;"",Dateneingabe!E21,"")</f>
        <v>17</v>
      </c>
      <c r="I79" s="86" t="str">
        <f>IF(Dateneingabe!E22&lt;&gt;"",Dateneingabe!E22,"")</f>
        <v/>
      </c>
      <c r="J79" s="87"/>
    </row>
    <row r="80" spans="2:16" ht="17.25" customHeight="1">
      <c r="B80" s="89" t="s">
        <v>58</v>
      </c>
      <c r="C80" s="101" t="str">
        <f>IF(C79&lt;&gt;"",Dateneingabe!$E$12*1000*Dateneingabe!$D$34*Wärmepumpe!C78/3600,"")</f>
        <v/>
      </c>
      <c r="D80" s="102">
        <f>IF(D79&lt;&gt;"",Dateneingabe!$E$12*1000*Dateneingabe!$D$34*Wärmepumpe!D78/3600,"")</f>
        <v>77.029722923746704</v>
      </c>
      <c r="E80" s="102">
        <f>IF(E79&lt;&gt;"",Dateneingabe!$E$12*1000*Dateneingabe!$D$34*Wärmepumpe!E78/3600,"")</f>
        <v>38.514861461873352</v>
      </c>
      <c r="F80" s="102">
        <f>IF(F79&lt;&gt;"",Dateneingabe!$E$12*1000*Dateneingabe!$D$34*Wärmepumpe!F78/3600,"")</f>
        <v>38.514861461873352</v>
      </c>
      <c r="G80" s="102">
        <f>IF(G79&lt;&gt;"",Dateneingabe!$E$12*1000*Dateneingabe!$D$34*Wärmepumpe!G78/3600,"")</f>
        <v>51.353148615831145</v>
      </c>
      <c r="H80" s="102">
        <f>IF(H79&lt;&gt;"",Dateneingabe!$E$12*1000*Dateneingabe!$D$34*Wärmepumpe!H78/3600,"")</f>
        <v>51.353148615831145</v>
      </c>
      <c r="I80" s="103" t="str">
        <f>IF(I79&lt;&gt;"",Dateneingabe!$E$12*1000*Dateneingabe!$D$34*Wärmepumpe!I78/3600,"")</f>
        <v/>
      </c>
      <c r="J80" s="88"/>
    </row>
    <row r="81" spans="2:10" ht="17.25" customHeight="1" thickBot="1">
      <c r="B81" s="94"/>
      <c r="C81" s="91"/>
      <c r="D81" s="92"/>
      <c r="E81" s="92"/>
      <c r="F81" s="92"/>
      <c r="G81" s="92"/>
      <c r="H81" s="92"/>
      <c r="I81" s="93"/>
      <c r="J81" s="94"/>
    </row>
    <row r="82" spans="2:10" ht="17.25" customHeight="1">
      <c r="B82" s="104" t="s">
        <v>53</v>
      </c>
      <c r="C82" s="151" t="str">
        <f>IF(C89="Laufzeit!","",C88)</f>
        <v/>
      </c>
      <c r="D82" s="151">
        <f>IF(D89="Laufzeit!","",D88)</f>
        <v>180.7027467188058</v>
      </c>
      <c r="E82" s="151">
        <f t="shared" ref="E82:I82" si="12">IF(E89="Laufzeit!","",E88)</f>
        <v>64.27392402271299</v>
      </c>
      <c r="F82" s="151">
        <f t="shared" si="12"/>
        <v>66.416388156803407</v>
      </c>
      <c r="G82" s="151">
        <f t="shared" si="12"/>
        <v>93.039286249124302</v>
      </c>
      <c r="H82" s="151">
        <f t="shared" si="12"/>
        <v>92.376826786504566</v>
      </c>
      <c r="I82" s="151" t="str">
        <f t="shared" si="12"/>
        <v/>
      </c>
      <c r="J82" s="152"/>
    </row>
    <row r="83" spans="2:10" ht="17.25" customHeight="1">
      <c r="B83" s="89" t="s">
        <v>73</v>
      </c>
      <c r="C83" s="109" t="str">
        <f>IF(C80&lt;&gt;"",Hilfsdaten!$H$23*Wärmepumpe!C79+Hilfsdaten!$I$23,"")</f>
        <v/>
      </c>
      <c r="D83" s="110">
        <f>IF(D80&lt;&gt;"",Hilfsdaten!$H$23*Wärmepumpe!D79+Hilfsdaten!$I$23,"")</f>
        <v>9.045454545454545</v>
      </c>
      <c r="E83" s="110">
        <f>IF(E80&lt;&gt;"",Hilfsdaten!$H$23*Wärmepumpe!E79+Hilfsdaten!$I$23,"")</f>
        <v>12.318181818181818</v>
      </c>
      <c r="F83" s="110">
        <f>IF(F80&lt;&gt;"",Hilfsdaten!$H$23*Wärmepumpe!F79+Hilfsdaten!$I$23,"")</f>
        <v>12.318181818181818</v>
      </c>
      <c r="G83" s="110">
        <f>IF(G80&lt;&gt;"",Hilfsdaten!$H$23*Wärmepumpe!G79+Hilfsdaten!$I$23,"")</f>
        <v>11.59090909090909</v>
      </c>
      <c r="H83" s="110">
        <f>IF(H80&lt;&gt;"",Hilfsdaten!$H$23*Wärmepumpe!H79+Hilfsdaten!$I$23,"")</f>
        <v>11.227272727272727</v>
      </c>
      <c r="I83" s="122" t="str">
        <f>IF(I80&lt;&gt;"",Hilfsdaten!$H$23*Wärmepumpe!I79+Hilfsdaten!$I$23,"")</f>
        <v/>
      </c>
      <c r="J83" s="90"/>
    </row>
    <row r="84" spans="2:10" ht="17.25" customHeight="1">
      <c r="B84" s="89" t="s">
        <v>61</v>
      </c>
      <c r="C84" s="109" t="str">
        <f>IF(C79&lt;&gt;"",Wärmepumpe!C79*Hilfsdaten!$D$23+Hilfsdaten!$E$23,"")</f>
        <v/>
      </c>
      <c r="D84" s="110">
        <f>IF(D79&lt;&gt;"",Wärmepumpe!D79*Hilfsdaten!$D$23+Hilfsdaten!$E$23,"")</f>
        <v>4.0826345290197787</v>
      </c>
      <c r="E84" s="110">
        <f>IF(E79&lt;&gt;"",Wärmepumpe!E79*Hilfsdaten!$D$23+Hilfsdaten!$E$23,"")</f>
        <v>5.2133007251881578</v>
      </c>
      <c r="F84" s="110">
        <f>IF(F79&lt;&gt;"",Wärmepumpe!F79*Hilfsdaten!$D$23+Hilfsdaten!$E$23,"")</f>
        <v>5.2133007251881578</v>
      </c>
      <c r="G84" s="110">
        <f>IF(G79&lt;&gt;"",Wärmepumpe!G79*Hilfsdaten!$D$23+Hilfsdaten!$E$23,"")</f>
        <v>4.9620415704840735</v>
      </c>
      <c r="H84" s="110">
        <f>IF(H79&lt;&gt;"",Wärmepumpe!H79*Hilfsdaten!$D$23+Hilfsdaten!$E$23,"")</f>
        <v>4.8364119931320317</v>
      </c>
      <c r="I84" s="122" t="str">
        <f>IF(I79&lt;&gt;"",Wärmepumpe!I79*Hilfsdaten!$D$23+Hilfsdaten!$E$23,"")</f>
        <v/>
      </c>
      <c r="J84" s="90"/>
    </row>
    <row r="85" spans="2:10" ht="17.25" customHeight="1">
      <c r="B85" s="89" t="s">
        <v>79</v>
      </c>
      <c r="C85" s="84" t="str">
        <f>IF(C80&lt;&gt;"",C80/C83,"")</f>
        <v/>
      </c>
      <c r="D85" s="80">
        <f t="shared" ref="D85:I85" si="13">IF(D80&lt;&gt;"",D80/D83,"")</f>
        <v>8.5158487654393351</v>
      </c>
      <c r="E85" s="80">
        <f t="shared" si="13"/>
        <v>3.1266677201520801</v>
      </c>
      <c r="F85" s="80">
        <f t="shared" si="13"/>
        <v>3.1266677201520801</v>
      </c>
      <c r="G85" s="80">
        <f t="shared" si="13"/>
        <v>4.430467723718766</v>
      </c>
      <c r="H85" s="80">
        <f t="shared" si="13"/>
        <v>4.5739646540416405</v>
      </c>
      <c r="I85" s="123" t="str">
        <f t="shared" si="13"/>
        <v/>
      </c>
      <c r="J85" s="90"/>
    </row>
    <row r="86" spans="2:10" ht="17.25" customHeight="1">
      <c r="B86" s="89" t="s">
        <v>114</v>
      </c>
      <c r="C86" s="126" t="str">
        <f>IF(C85&lt;&gt;"",C83/C84*C85*30,"")</f>
        <v/>
      </c>
      <c r="D86" s="127">
        <f>IF(D85&lt;&gt;"",D83/D84*D85*31,"")</f>
        <v>584.89717697299659</v>
      </c>
      <c r="E86" s="127">
        <f>IF(E85&lt;&gt;"",E83/E84*E85*30,"")</f>
        <v>221.63422076797582</v>
      </c>
      <c r="F86" s="127">
        <f>IF(F85&lt;&gt;"",F83/F84*F85*31,"")</f>
        <v>229.02202812690834</v>
      </c>
      <c r="G86" s="127">
        <f>IF(G85&lt;&gt;"",G83/G84*G85*31,"")</f>
        <v>320.82512499698038</v>
      </c>
      <c r="H86" s="127">
        <f>IF(H85&lt;&gt;"",H83/H84*H85*30,"")</f>
        <v>318.54078202242954</v>
      </c>
      <c r="I86" s="128" t="str">
        <f>IF(I85&lt;&gt;"",I83/I84*I85*31,"")</f>
        <v/>
      </c>
      <c r="J86" s="124">
        <f>SUM(C86:I86)</f>
        <v>1674.9193328872905</v>
      </c>
    </row>
    <row r="87" spans="2:10">
      <c r="B87" s="89" t="s">
        <v>113</v>
      </c>
      <c r="C87" s="126">
        <f>IF(AND(C$32&lt;&gt;"",C85&gt;Dateneingabe!$C$44),(C85-Dateneingabe!$C$44)*Dateneingabe!$E$41*30,0)</f>
        <v>0</v>
      </c>
      <c r="D87" s="127">
        <f>IF(AND(D$32&lt;&gt;"",D85&gt;Dateneingabe!$C$45),(D85-Dateneingabe!$C$45)*Dateneingabe!$E$41*31,0)</f>
        <v>38.215742747023498</v>
      </c>
      <c r="E87" s="127">
        <f>IF(AND(E$32&lt;&gt;"",E85&gt;Dateneingabe!$C$46),(E85-Dateneingabe!$C$46)*Dateneingabe!$E$41*30,0)</f>
        <v>0</v>
      </c>
      <c r="F87" s="127">
        <f>IF(AND(F$32&lt;&gt;"",F85&gt;Dateneingabe!$C$47),(F85-Dateneingabe!$C$47)*Dateneingabe!$E$41*31,0)</f>
        <v>0</v>
      </c>
      <c r="G87" s="127">
        <f>IF(AND(G$32&lt;&gt;"",G85&gt;Dateneingabe!$C$48),(G85-Dateneingabe!$C$48)*Dateneingabe!$E$41*31,0)</f>
        <v>0</v>
      </c>
      <c r="H87" s="127">
        <f>IF(AND(H$32&lt;&gt;"",H85&gt;Dateneingabe!$C$49),(H85-Dateneingabe!$C$49)*Dateneingabe!$E$41*30,0)</f>
        <v>0</v>
      </c>
      <c r="I87" s="128">
        <f>IF(AND(I$32&lt;&gt;"",I85&gt;Dateneingabe!$C$50),(I85-Dateneingabe!$C$50)*Dateneingabe!$E$41*31,0)</f>
        <v>0</v>
      </c>
      <c r="J87" s="124"/>
    </row>
    <row r="88" spans="2:10" ht="17.25" customHeight="1">
      <c r="B88" s="89" t="s">
        <v>111</v>
      </c>
      <c r="C88" s="126" t="str">
        <f>IF(C86&lt;&gt;"",(C86+C87)*Dateneingabe!$D$26,"")</f>
        <v/>
      </c>
      <c r="D88" s="127">
        <f>IF(D86&lt;&gt;"",(D86+D87)*Dateneingabe!$D$26,"")</f>
        <v>180.7027467188058</v>
      </c>
      <c r="E88" s="127">
        <f>IF(E86&lt;&gt;"",(E86+E87)*Dateneingabe!$D$26,"")</f>
        <v>64.27392402271299</v>
      </c>
      <c r="F88" s="127">
        <f>IF(F86&lt;&gt;"",(F86+F87)*Dateneingabe!$D$26,"")</f>
        <v>66.416388156803407</v>
      </c>
      <c r="G88" s="127">
        <f>IF(G86&lt;&gt;"",(G86+G87)*Dateneingabe!$D$26,"")</f>
        <v>93.039286249124302</v>
      </c>
      <c r="H88" s="127">
        <f>IF(H86&lt;&gt;"",(H86+H87)*Dateneingabe!$D$26,"")</f>
        <v>92.376826786504566</v>
      </c>
      <c r="I88" s="129" t="str">
        <f>IF(I86&lt;&gt;"",(I86+I87)*Dateneingabe!$D$26,"")</f>
        <v/>
      </c>
      <c r="J88" s="124">
        <f>SUM(C88:I88)</f>
        <v>496.80917193395106</v>
      </c>
    </row>
    <row r="89" spans="2:10" ht="17.25" customHeight="1">
      <c r="B89" s="89"/>
      <c r="C89" s="146" t="str">
        <f>IF(AND(C$32&lt;&gt;"",C85&gt;Dateneingabe!$D$44),"Laufzeit!","")</f>
        <v/>
      </c>
      <c r="D89" s="147" t="str">
        <f>IF(AND(D$32&lt;&gt;"",D85&gt;Dateneingabe!$D$45),"Laufzeit!","")</f>
        <v/>
      </c>
      <c r="E89" s="147" t="str">
        <f>IF(AND(E$32&lt;&gt;"",E85&gt;Dateneingabe!$D$46),"Laufzeit!","")</f>
        <v/>
      </c>
      <c r="F89" s="147" t="str">
        <f>IF(AND(F$32&lt;&gt;"",F85&gt;Dateneingabe!$D$47),"Laufzeit!","")</f>
        <v/>
      </c>
      <c r="G89" s="147" t="str">
        <f>IF(AND(G$32&lt;&gt;"",G85&gt;Dateneingabe!$D$48),"Laufzeit!","")</f>
        <v/>
      </c>
      <c r="H89" s="147" t="str">
        <f>IF(AND(H$32&lt;&gt;"",H85&gt;Dateneingabe!$D$49),"Laufzeit!","")</f>
        <v/>
      </c>
      <c r="I89" s="148" t="str">
        <f>IF(AND(I$32&lt;&gt;"",I85&gt;Dateneingabe!$D$50),"Laufzeit!","")</f>
        <v/>
      </c>
      <c r="J89" s="89"/>
    </row>
    <row r="90" spans="2:10" ht="17.25" customHeight="1" thickBot="1">
      <c r="B90" s="94"/>
      <c r="C90" s="150"/>
      <c r="D90" s="92"/>
      <c r="E90" s="92"/>
      <c r="F90" s="92"/>
      <c r="G90" s="92"/>
      <c r="H90" s="92"/>
      <c r="I90" s="93"/>
      <c r="J90" s="94"/>
    </row>
    <row r="91" spans="2:10">
      <c r="B91" s="104" t="s">
        <v>54</v>
      </c>
      <c r="C91" s="151" t="str">
        <f>IF(C98="Laufzeit!","",C97)</f>
        <v/>
      </c>
      <c r="D91" s="151" t="str">
        <f>IF(D98="Laufzeit!","",D97)</f>
        <v/>
      </c>
      <c r="E91" s="151">
        <f t="shared" ref="E91:I91" si="14">IF(E98="Laufzeit!","",E97)</f>
        <v>41.011095876509373</v>
      </c>
      <c r="F91" s="151">
        <f t="shared" si="14"/>
        <v>42.378132405726348</v>
      </c>
      <c r="G91" s="151">
        <f t="shared" si="14"/>
        <v>65.012990672097033</v>
      </c>
      <c r="H91" s="151">
        <f t="shared" si="14"/>
        <v>75.405563293746383</v>
      </c>
      <c r="I91" s="151" t="str">
        <f t="shared" si="14"/>
        <v/>
      </c>
      <c r="J91" s="152"/>
    </row>
    <row r="92" spans="2:10">
      <c r="B92" s="89" t="s">
        <v>73</v>
      </c>
      <c r="C92" s="109" t="str">
        <f>IF(C80&lt;&gt;"",Hilfsdaten!$H$24*Wärmepumpe!C79+Hilfsdaten!$I$24,"")</f>
        <v/>
      </c>
      <c r="D92" s="110">
        <f>IF(D80&lt;&gt;"",Hilfsdaten!$H$24*Wärmepumpe!D79+Hilfsdaten!$I$24,"")</f>
        <v>4.5418181818181829</v>
      </c>
      <c r="E92" s="110">
        <f>IF(E80&lt;&gt;"",Hilfsdaten!$H$24*Wärmepumpe!E79+Hilfsdaten!$I$24,"")</f>
        <v>6.2027272727272731</v>
      </c>
      <c r="F92" s="110">
        <f>IF(F80&lt;&gt;"",Hilfsdaten!$H$24*Wärmepumpe!F79+Hilfsdaten!$I$24,"")</f>
        <v>6.2027272727272731</v>
      </c>
      <c r="G92" s="110">
        <f>IF(G80&lt;&gt;"",Hilfsdaten!$H$24*Wärmepumpe!G79+Hilfsdaten!$I$24,"")</f>
        <v>5.833636363636364</v>
      </c>
      <c r="H92" s="110">
        <f>IF(H80&lt;&gt;"",Hilfsdaten!$H$24*Wärmepumpe!H79+Hilfsdaten!$I$24,"")</f>
        <v>5.6490909090909094</v>
      </c>
      <c r="I92" s="122" t="str">
        <f>IF(I80&lt;&gt;"",Hilfsdaten!$H$24*Wärmepumpe!I79+Hilfsdaten!$I$24,"")</f>
        <v/>
      </c>
      <c r="J92" s="90"/>
    </row>
    <row r="93" spans="2:10">
      <c r="B93" s="89" t="s">
        <v>61</v>
      </c>
      <c r="C93" s="109" t="str">
        <f>IF(C79&lt;&gt;"",Wärmepumpe!C79*Hilfsdaten!$D$24+Hilfsdaten!$E$24,"")</f>
        <v/>
      </c>
      <c r="D93" s="110">
        <f>IF(D79&lt;&gt;"",Wärmepumpe!D79*Hilfsdaten!$D$24+Hilfsdaten!$E$24,"")</f>
        <v>5.1969696969696964</v>
      </c>
      <c r="E93" s="110">
        <f>IF(E79&lt;&gt;"",Wärmepumpe!E79*Hilfsdaten!$D$24+Hilfsdaten!$E$24,"")</f>
        <v>8.170454545454545</v>
      </c>
      <c r="F93" s="110">
        <f>IF(F79&lt;&gt;"",Wärmepumpe!F79*Hilfsdaten!$D$24+Hilfsdaten!$E$24,"")</f>
        <v>8.170454545454545</v>
      </c>
      <c r="G93" s="110">
        <f>IF(G79&lt;&gt;"",Wärmepumpe!G79*Hilfsdaten!$D$24+Hilfsdaten!$E$24,"")</f>
        <v>7.5096801346801341</v>
      </c>
      <c r="H93" s="110">
        <f>IF(H79&lt;&gt;"",Wärmepumpe!H79*Hilfsdaten!$D$24+Hilfsdaten!$E$24,"")</f>
        <v>7.1792929292929282</v>
      </c>
      <c r="I93" s="122" t="str">
        <f>IF(I79&lt;&gt;"",Wärmepumpe!I79*Hilfsdaten!$D$24+Hilfsdaten!$E$24,"")</f>
        <v/>
      </c>
      <c r="J93" s="90"/>
    </row>
    <row r="94" spans="2:10">
      <c r="B94" s="89" t="s">
        <v>79</v>
      </c>
      <c r="C94" s="84" t="str">
        <f>IF(C80&lt;&gt;"",C80/C92,"")</f>
        <v/>
      </c>
      <c r="D94" s="80">
        <f t="shared" ref="D94:I94" si="15">IF(D80&lt;&gt;"",D80/D92,"")</f>
        <v>16.960107128927412</v>
      </c>
      <c r="E94" s="80">
        <f t="shared" si="15"/>
        <v>6.2093430467625215</v>
      </c>
      <c r="F94" s="80">
        <f t="shared" si="15"/>
        <v>6.2093430467625215</v>
      </c>
      <c r="G94" s="80">
        <f t="shared" si="15"/>
        <v>8.8029396100068968</v>
      </c>
      <c r="H94" s="80">
        <f t="shared" si="15"/>
        <v>9.0905155258149755</v>
      </c>
      <c r="I94" s="123" t="str">
        <f t="shared" si="15"/>
        <v/>
      </c>
      <c r="J94" s="90"/>
    </row>
    <row r="95" spans="2:10">
      <c r="B95" s="89" t="s">
        <v>114</v>
      </c>
      <c r="C95" s="126" t="str">
        <f>IF(C94&lt;&gt;"",C92/C93*C94*30,"")</f>
        <v/>
      </c>
      <c r="D95" s="127">
        <f>IF(D94&lt;&gt;"",D92/D93*D94*31,"")</f>
        <v>459.48342012240749</v>
      </c>
      <c r="E95" s="127">
        <f>IF(E94&lt;&gt;"",E92/E93*E94*30,"")</f>
        <v>141.41757198796336</v>
      </c>
      <c r="F95" s="127">
        <f>IF(F94&lt;&gt;"",F92/F93*F94*31,"")</f>
        <v>146.1314910542288</v>
      </c>
      <c r="G95" s="127">
        <f>IF(G94&lt;&gt;"",G92/G93*G94*31,"")</f>
        <v>211.98607377950228</v>
      </c>
      <c r="H95" s="127">
        <f>IF(H94&lt;&gt;"",H92/H93*H94*30,"")</f>
        <v>214.58860554205913</v>
      </c>
      <c r="I95" s="128" t="str">
        <f>IF(I94&lt;&gt;"",I92/I93*I94*31,"")</f>
        <v/>
      </c>
      <c r="J95" s="124">
        <f>SUM(C95:I95)</f>
        <v>1173.6071624861611</v>
      </c>
    </row>
    <row r="96" spans="2:10">
      <c r="B96" s="89" t="s">
        <v>113</v>
      </c>
      <c r="C96" s="126">
        <f>IF(AND(C$32&lt;&gt;"",C94&gt;Dateneingabe!$C$44),(C94-Dateneingabe!$C$44)*Dateneingabe!$E$41*30,0)</f>
        <v>0</v>
      </c>
      <c r="D96" s="127">
        <f>IF(AND(D$32&lt;&gt;"",D94&gt;Dateneingabe!$C$45),(D94-Dateneingabe!$C$45)*Dateneingabe!$E$41*31,0)</f>
        <v>166.48402728840736</v>
      </c>
      <c r="E96" s="127">
        <f>IF(AND(E$32&lt;&gt;"",E94&gt;Dateneingabe!$C$46),(E94-Dateneingabe!$C$46)*Dateneingabe!$E$41*30,0)</f>
        <v>0</v>
      </c>
      <c r="F96" s="127">
        <f>IF(AND(F$32&lt;&gt;"",F94&gt;Dateneingabe!$C$47),(F94-Dateneingabe!$C$47)*Dateneingabe!$E$41*31,0)</f>
        <v>0</v>
      </c>
      <c r="G96" s="127">
        <f>IF(AND(G$32&lt;&gt;"",G94&gt;Dateneingabe!$C$48),(G94-Dateneingabe!$C$48)*Dateneingabe!$E$41*31,0)</f>
        <v>12.196652676004764</v>
      </c>
      <c r="H96" s="127">
        <f>IF(AND(H$32&lt;&gt;"",H94&gt;Dateneingabe!$C$49),(H94-Dateneingabe!$C$49)*Dateneingabe!$E$41*30,0)</f>
        <v>45.430578229480133</v>
      </c>
      <c r="I96" s="129">
        <f>IF(AND(I$32&lt;&gt;"",I94&gt;Dateneingabe!$C$50),(I94-Dateneingabe!$C$50)*Dateneingabe!$E$41*31,0)</f>
        <v>0</v>
      </c>
      <c r="J96" s="124"/>
    </row>
    <row r="97" spans="2:16">
      <c r="B97" s="89" t="s">
        <v>111</v>
      </c>
      <c r="C97" s="126" t="str">
        <f>IF(C95&lt;&gt;"",(C95+C96)*Dateneingabe!$D$26,"")</f>
        <v/>
      </c>
      <c r="D97" s="127">
        <f>IF(D95&lt;&gt;"",(D95+D96)*Dateneingabe!$D$26,"")</f>
        <v>181.5305597491363</v>
      </c>
      <c r="E97" s="127">
        <f>IF(E95&lt;&gt;"",(E95+E96)*Dateneingabe!$D$26,"")</f>
        <v>41.011095876509373</v>
      </c>
      <c r="F97" s="127">
        <f>IF(F95&lt;&gt;"",(F95+F96)*Dateneingabe!$D$26,"")</f>
        <v>42.378132405726348</v>
      </c>
      <c r="G97" s="127">
        <f>IF(G95&lt;&gt;"",(G95+G96)*Dateneingabe!$D$26,"")</f>
        <v>65.012990672097033</v>
      </c>
      <c r="H97" s="127">
        <f>IF(H95&lt;&gt;"",(H95+H96)*Dateneingabe!$D$26,"")</f>
        <v>75.405563293746383</v>
      </c>
      <c r="I97" s="129" t="str">
        <f>IF(I95&lt;&gt;"",(I95+I96)*Dateneingabe!$D$26,"")</f>
        <v/>
      </c>
      <c r="J97" s="124">
        <f>SUM(C97:I97)</f>
        <v>405.33834199721548</v>
      </c>
    </row>
    <row r="98" spans="2:16">
      <c r="B98" s="89"/>
      <c r="C98" s="146" t="str">
        <f>IF(AND(C$32&lt;&gt;"",C94&gt;Dateneingabe!$D$44),"Laufzeit!","")</f>
        <v/>
      </c>
      <c r="D98" s="147" t="str">
        <f>IF(AND(D$32&lt;&gt;"",D94&gt;Dateneingabe!$D$45),"Laufzeit!","")</f>
        <v>Laufzeit!</v>
      </c>
      <c r="E98" s="147" t="str">
        <f>IF(AND(E$32&lt;&gt;"",E94&gt;Dateneingabe!$D$46),"Laufzeit!","")</f>
        <v/>
      </c>
      <c r="F98" s="147" t="str">
        <f>IF(AND(F$32&lt;&gt;"",F94&gt;Dateneingabe!$D$47),"Laufzeit!","")</f>
        <v/>
      </c>
      <c r="G98" s="147" t="str">
        <f>IF(AND(G$32&lt;&gt;"",G94&gt;Dateneingabe!$D$48),"Laufzeit!","")</f>
        <v/>
      </c>
      <c r="H98" s="147" t="str">
        <f>IF(AND(H$32&lt;&gt;"",H94&gt;Dateneingabe!$D$49),"Laufzeit!","")</f>
        <v/>
      </c>
      <c r="I98" s="148" t="str">
        <f>IF(AND(I$32&lt;&gt;"",I94&gt;Dateneingabe!$D$50),"Laufzeit!","")</f>
        <v/>
      </c>
      <c r="J98" s="89"/>
    </row>
    <row r="99" spans="2:16" ht="15.75" thickBot="1">
      <c r="B99" s="94"/>
      <c r="C99" s="150"/>
      <c r="D99" s="92"/>
      <c r="E99" s="92"/>
      <c r="F99" s="92"/>
      <c r="G99" s="92"/>
      <c r="H99" s="92"/>
      <c r="I99" s="93"/>
      <c r="J99" s="94"/>
    </row>
    <row r="100" spans="2:16">
      <c r="B100" s="104" t="s">
        <v>55</v>
      </c>
      <c r="C100" s="151" t="str">
        <f>IF(C107="Laufzeit!","",C106)</f>
        <v/>
      </c>
      <c r="D100" s="151" t="str">
        <f>IF(D107="Laufzeit!","",D106)</f>
        <v/>
      </c>
      <c r="E100" s="151" t="str">
        <f t="shared" ref="E100:I100" si="16">IF(E107="Laufzeit!","",E106)</f>
        <v/>
      </c>
      <c r="F100" s="151" t="str">
        <f t="shared" si="16"/>
        <v/>
      </c>
      <c r="G100" s="151" t="str">
        <f t="shared" si="16"/>
        <v/>
      </c>
      <c r="H100" s="151" t="str">
        <f t="shared" si="16"/>
        <v/>
      </c>
      <c r="I100" s="151" t="str">
        <f t="shared" si="16"/>
        <v/>
      </c>
      <c r="J100" s="152"/>
    </row>
    <row r="101" spans="2:16">
      <c r="B101" s="89" t="s">
        <v>73</v>
      </c>
      <c r="C101" s="109" t="str">
        <f>IF(C80&lt;&gt;"",Hilfsdaten!$H$25*Wärmepumpe!C79+Hilfsdaten!$I$25,"")</f>
        <v/>
      </c>
      <c r="D101" s="110">
        <f>IF(D80&lt;&gt;"",Hilfsdaten!$H$25*Wärmepumpe!D79+Hilfsdaten!$I$25,"")</f>
        <v>2.0181818181818185</v>
      </c>
      <c r="E101" s="110">
        <f>IF(E80&lt;&gt;"",Hilfsdaten!$H$25*Wärmepumpe!E79+Hilfsdaten!$I$25,"")</f>
        <v>2.1572727272727272</v>
      </c>
      <c r="F101" s="110">
        <f>IF(F80&lt;&gt;"",Hilfsdaten!$H$25*Wärmepumpe!F79+Hilfsdaten!$I$25,"")</f>
        <v>2.1572727272727272</v>
      </c>
      <c r="G101" s="110">
        <f>IF(G80&lt;&gt;"",Hilfsdaten!$H$25*Wärmepumpe!G79+Hilfsdaten!$I$25,"")</f>
        <v>2.1263636363636365</v>
      </c>
      <c r="H101" s="110">
        <f>IF(H80&lt;&gt;"",Hilfsdaten!$H$25*Wärmepumpe!H79+Hilfsdaten!$I$25,"")</f>
        <v>2.1109090909090908</v>
      </c>
      <c r="I101" s="122" t="str">
        <f>IF(I80&lt;&gt;"",Hilfsdaten!$H$25*Wärmepumpe!I79+Hilfsdaten!$I$25,"")</f>
        <v/>
      </c>
      <c r="J101" s="90"/>
    </row>
    <row r="102" spans="2:16">
      <c r="B102" s="89" t="s">
        <v>61</v>
      </c>
      <c r="C102" s="109" t="str">
        <f>IF(C79&lt;&gt;"",Wärmepumpe!C79*Hilfsdaten!$D$25+Hilfsdaten!$E$25,"")</f>
        <v/>
      </c>
      <c r="D102" s="110">
        <f>IF(D79&lt;&gt;"",Wärmepumpe!D79*Hilfsdaten!$D$25+Hilfsdaten!$E$25,"")</f>
        <v>5.0649350649350655</v>
      </c>
      <c r="E102" s="110">
        <f>IF(E79&lt;&gt;"",Wärmepumpe!E79*Hilfsdaten!$D$25+Hilfsdaten!$E$25,"")</f>
        <v>11.668831168831169</v>
      </c>
      <c r="F102" s="110">
        <f>IF(F79&lt;&gt;"",Wärmepumpe!F79*Hilfsdaten!$D$25+Hilfsdaten!$E$25,"")</f>
        <v>11.668831168831169</v>
      </c>
      <c r="G102" s="110">
        <f>IF(G79&lt;&gt;"",Wärmepumpe!G79*Hilfsdaten!$D$25+Hilfsdaten!$E$25,"")</f>
        <v>10.201298701298702</v>
      </c>
      <c r="H102" s="110">
        <f>IF(H79&lt;&gt;"",Wärmepumpe!H79*Hilfsdaten!$D$25+Hilfsdaten!$E$25,"")</f>
        <v>9.4675324675324681</v>
      </c>
      <c r="I102" s="122" t="str">
        <f>IF(I79&lt;&gt;"",Wärmepumpe!I79*Hilfsdaten!$D$25+Hilfsdaten!$E$25,"")</f>
        <v/>
      </c>
      <c r="J102" s="90"/>
    </row>
    <row r="103" spans="2:16">
      <c r="B103" s="89" t="s">
        <v>79</v>
      </c>
      <c r="C103" s="84" t="str">
        <f>IF(C80&lt;&gt;"",C80/C101,"")</f>
        <v/>
      </c>
      <c r="D103" s="80">
        <f t="shared" ref="D103:I103" si="17">IF(D80&lt;&gt;"",D80/D101,"")</f>
        <v>38.167880727982592</v>
      </c>
      <c r="E103" s="80">
        <f t="shared" si="17"/>
        <v>17.853496674277576</v>
      </c>
      <c r="F103" s="80">
        <f t="shared" si="17"/>
        <v>17.853496674277576</v>
      </c>
      <c r="G103" s="80">
        <f t="shared" si="17"/>
        <v>24.150689815055262</v>
      </c>
      <c r="H103" s="80">
        <f t="shared" si="17"/>
        <v>24.327503650910536</v>
      </c>
      <c r="I103" s="123" t="str">
        <f t="shared" si="17"/>
        <v/>
      </c>
      <c r="J103" s="90"/>
    </row>
    <row r="104" spans="2:16">
      <c r="B104" s="89" t="s">
        <v>114</v>
      </c>
      <c r="C104" s="126" t="str">
        <f>IF(C103&lt;&gt;"",C101/C102*C103*30,"")</f>
        <v/>
      </c>
      <c r="D104" s="127">
        <f>IF(D103&lt;&gt;"",D101/D102*D103*31,"")</f>
        <v>471.46140671534192</v>
      </c>
      <c r="E104" s="127">
        <f>IF(E103&lt;&gt;"",E101/E102*E103*30,"")</f>
        <v>99.019844159073386</v>
      </c>
      <c r="F104" s="127">
        <f>IF(F103&lt;&gt;"",F101/F102*F103*31,"")</f>
        <v>102.32050563104251</v>
      </c>
      <c r="G104" s="127">
        <f>IF(G103&lt;&gt;"",G101/G102*G103*31,"")</f>
        <v>156.05342552003685</v>
      </c>
      <c r="H104" s="127">
        <f>IF(H103&lt;&gt;"",H101/H102*H103*30,"")</f>
        <v>162.72396886497935</v>
      </c>
      <c r="I104" s="128" t="str">
        <f>IF(I103&lt;&gt;"",I101/I102*I103*31,"")</f>
        <v/>
      </c>
      <c r="J104" s="124">
        <f>SUM(C104:I104)</f>
        <v>991.57915089047401</v>
      </c>
    </row>
    <row r="105" spans="2:16">
      <c r="B105" s="89" t="s">
        <v>113</v>
      </c>
      <c r="C105" s="126">
        <f>IF(AND(C$32&lt;&gt;"",C103&gt;Dateneingabe!$C$44),(C103-Dateneingabe!$C$44)*Dateneingabe!$E$41*30,0)</f>
        <v>0</v>
      </c>
      <c r="D105" s="127">
        <f>IF(AND(D$32&lt;&gt;"",D103&gt;Dateneingabe!$C$45),(D103-Dateneingabe!$C$45)*Dateneingabe!$E$41*31,0)</f>
        <v>488.6301082580556</v>
      </c>
      <c r="E105" s="127">
        <f>IF(AND(E$32&lt;&gt;"",E103&gt;Dateneingabe!$C$46),(E103-Dateneingabe!$C$46)*Dateneingabe!$E$41*30,0)</f>
        <v>144.84640111188037</v>
      </c>
      <c r="F105" s="127">
        <f>IF(AND(F$32&lt;&gt;"",F103&gt;Dateneingabe!$C$47),(F103-Dateneingabe!$C$47)*Dateneingabe!$E$41*31,0)</f>
        <v>119.29461448227637</v>
      </c>
      <c r="G105" s="127">
        <f>IF(AND(G$32&lt;&gt;"",G103&gt;Dateneingabe!$C$48),(G103-Dateneingabe!$C$48)*Dateneingabe!$E$41*31,0)</f>
        <v>245.32897829068941</v>
      </c>
      <c r="H105" s="127">
        <f>IF(AND(H$32&lt;&gt;"",H103&gt;Dateneingabe!$C$49),(H103-Dateneingabe!$C$49)*Dateneingabe!$E$41*30,0)</f>
        <v>269.41430366838489</v>
      </c>
      <c r="I105" s="129">
        <f>IF(AND(I$32&lt;&gt;"",I103&gt;Dateneingabe!$C$50),(I103-Dateneingabe!$C$50)*Dateneingabe!$E$41*31,0)</f>
        <v>0</v>
      </c>
      <c r="J105" s="124"/>
    </row>
    <row r="106" spans="2:16">
      <c r="B106" s="89" t="s">
        <v>111</v>
      </c>
      <c r="C106" s="126" t="str">
        <f>IF(C104&lt;&gt;"",(C104+C105)*Dateneingabe!$D$26,"")</f>
        <v/>
      </c>
      <c r="D106" s="127">
        <f>IF(D104&lt;&gt;"",(D104+D105)*Dateneingabe!$D$26,"")</f>
        <v>278.42653934228525</v>
      </c>
      <c r="E106" s="127">
        <f>IF(E104&lt;&gt;"",(E104+E105)*Dateneingabe!$D$26,"")</f>
        <v>70.721211128576584</v>
      </c>
      <c r="F106" s="127">
        <f>IF(F104&lt;&gt;"",(F104+F105)*Dateneingabe!$D$26,"")</f>
        <v>64.268384832862466</v>
      </c>
      <c r="G106" s="127">
        <f>IF(G104&lt;&gt;"",(G104+G105)*Dateneingabe!$D$26,"")</f>
        <v>116.4008971051106</v>
      </c>
      <c r="H106" s="127">
        <f>IF(H104&lt;&gt;"",(H104+H105)*Dateneingabe!$D$26,"")</f>
        <v>125.32009903467561</v>
      </c>
      <c r="I106" s="129" t="str">
        <f>IF(I104&lt;&gt;"",(I104+I105)*Dateneingabe!$D$26,"")</f>
        <v/>
      </c>
      <c r="J106" s="125">
        <f>SUM(C106:I106)</f>
        <v>655.13713144351061</v>
      </c>
    </row>
    <row r="107" spans="2:16" ht="17.25" customHeight="1">
      <c r="B107" s="89"/>
      <c r="C107" s="146" t="str">
        <f>IF(AND(C$32&lt;&gt;"",C103&gt;Dateneingabe!$D$44),"Laufzeit!","")</f>
        <v/>
      </c>
      <c r="D107" s="147" t="str">
        <f>IF(AND(D$32&lt;&gt;"",D103&gt;Dateneingabe!$D$45),"Laufzeit!","")</f>
        <v>Laufzeit!</v>
      </c>
      <c r="E107" s="147" t="str">
        <f>IF(AND(E$32&lt;&gt;"",E103&gt;Dateneingabe!$D$46),"Laufzeit!","")</f>
        <v>Laufzeit!</v>
      </c>
      <c r="F107" s="147" t="str">
        <f>IF(AND(F$32&lt;&gt;"",F103&gt;Dateneingabe!$D$47),"Laufzeit!","")</f>
        <v>Laufzeit!</v>
      </c>
      <c r="G107" s="147" t="str">
        <f>IF(AND(G$32&lt;&gt;"",G103&gt;Dateneingabe!$D$48),"Laufzeit!","")</f>
        <v>Laufzeit!</v>
      </c>
      <c r="H107" s="147" t="str">
        <f>IF(AND(H$32&lt;&gt;"",H103&gt;Dateneingabe!$D$49),"Laufzeit!","")</f>
        <v>Laufzeit!</v>
      </c>
      <c r="I107" s="148" t="str">
        <f>IF(AND(I$32&lt;&gt;"",I103&gt;Dateneingabe!$D$50),"Laufzeit!","")</f>
        <v/>
      </c>
      <c r="J107" s="89"/>
    </row>
    <row r="108" spans="2:16" ht="17.25" customHeight="1" thickBot="1">
      <c r="B108" s="94"/>
      <c r="C108" s="150"/>
      <c r="D108" s="92"/>
      <c r="E108" s="92"/>
      <c r="F108" s="92"/>
      <c r="G108" s="92"/>
      <c r="H108" s="92"/>
      <c r="I108" s="93"/>
      <c r="J108" s="94"/>
    </row>
    <row r="109" spans="2:16">
      <c r="B109" s="100" t="s">
        <v>80</v>
      </c>
      <c r="C109" s="100" t="s">
        <v>112</v>
      </c>
    </row>
    <row r="110" spans="2:16" ht="15.75" thickBot="1"/>
    <row r="111" spans="2:16">
      <c r="B111" s="104" t="s">
        <v>106</v>
      </c>
      <c r="C111" s="105"/>
      <c r="D111" s="106"/>
      <c r="E111" s="106"/>
      <c r="F111" s="106"/>
      <c r="G111" s="106"/>
      <c r="H111" s="106"/>
      <c r="I111" s="107"/>
      <c r="J111" s="108"/>
      <c r="M111" s="196" t="s">
        <v>119</v>
      </c>
      <c r="N111" s="197"/>
      <c r="O111" s="197"/>
      <c r="P111" s="198"/>
    </row>
    <row r="112" spans="2:16">
      <c r="B112" s="89" t="s">
        <v>73</v>
      </c>
      <c r="C112" s="109" t="str">
        <f>IF(NOT(ISNA(HLOOKUP(C117,$C$82:$I$89,2,FALSE))),HLOOKUP(C117,$C$82:$I$89,2,FALSE),IF(NOT(ISNA(HLOOKUP(C117,$C$91:$I$98,2,FALSE))),HLOOKUP(C117,$C$91:$I$98,2,FALSE),HLOOKUP(C117,$C$100:$I$107,2,FALSE)))</f>
        <v/>
      </c>
      <c r="D112" s="110">
        <f t="shared" ref="D112:I112" si="18">IF(NOT(ISNA(HLOOKUP(D117,$C$82:$I$89,2,FALSE))),HLOOKUP(D117,$C$82:$I$89,2,FALSE),IF(NOT(ISNA(HLOOKUP(D117,$C$91:$I$98,2,FALSE))),HLOOKUP(D117,$C$91:$I$98,2,FALSE),HLOOKUP(D117,$C$100:$I$107,2,FALSE)))</f>
        <v>9.045454545454545</v>
      </c>
      <c r="E112" s="110">
        <f t="shared" si="18"/>
        <v>6.2027272727272731</v>
      </c>
      <c r="F112" s="110">
        <f t="shared" si="18"/>
        <v>6.2027272727272731</v>
      </c>
      <c r="G112" s="110">
        <f t="shared" si="18"/>
        <v>5.833636363636364</v>
      </c>
      <c r="H112" s="110">
        <f t="shared" si="18"/>
        <v>5.6490909090909094</v>
      </c>
      <c r="I112" s="122" t="str">
        <f t="shared" si="18"/>
        <v/>
      </c>
      <c r="J112" s="90"/>
      <c r="M112" s="193"/>
      <c r="N112" s="199"/>
      <c r="O112" s="199"/>
      <c r="P112" s="200"/>
    </row>
    <row r="113" spans="2:16">
      <c r="B113" s="89" t="s">
        <v>61</v>
      </c>
      <c r="C113" s="109" t="str">
        <f t="shared" ref="C113:I113" si="19">IF(NOT(ISNA(HLOOKUP(C117,$C$82:$I$89,3,FALSE))),HLOOKUP(C117,$C$82:$I$89,3,FALSE),IF(NOT(ISNA(HLOOKUP(C117,$C$91:$I$98,3,FALSE))),HLOOKUP(C117,$C$91:$I$98,3,FALSE),HLOOKUP(C117,$C$100:$I$107,3,FALSE)))</f>
        <v/>
      </c>
      <c r="D113" s="110">
        <f t="shared" si="19"/>
        <v>4.0826345290197787</v>
      </c>
      <c r="E113" s="110">
        <f t="shared" si="19"/>
        <v>8.170454545454545</v>
      </c>
      <c r="F113" s="110">
        <f t="shared" si="19"/>
        <v>8.170454545454545</v>
      </c>
      <c r="G113" s="110">
        <f t="shared" si="19"/>
        <v>7.5096801346801341</v>
      </c>
      <c r="H113" s="110">
        <f t="shared" si="19"/>
        <v>7.1792929292929282</v>
      </c>
      <c r="I113" s="122" t="str">
        <f t="shared" si="19"/>
        <v/>
      </c>
      <c r="J113" s="90"/>
      <c r="M113" s="193"/>
      <c r="N113" s="199"/>
      <c r="O113" s="199"/>
      <c r="P113" s="200"/>
    </row>
    <row r="114" spans="2:16">
      <c r="B114" s="89" t="s">
        <v>79</v>
      </c>
      <c r="C114" s="84" t="str">
        <f t="shared" ref="C114:I114" si="20">IF(NOT(ISNA(HLOOKUP(C117,$C$82:$I$89,4,FALSE))),HLOOKUP(C117,$C$82:$I$89,4,FALSE),IF(NOT(ISNA(HLOOKUP(C117,$C$91:$I$98,4,FALSE))),HLOOKUP(C117,$C$91:$I$98,4,FALSE),HLOOKUP(C117,$C$100:$I$107,4,FALSE)))</f>
        <v/>
      </c>
      <c r="D114" s="80">
        <f t="shared" si="20"/>
        <v>8.5158487654393351</v>
      </c>
      <c r="E114" s="80">
        <f t="shared" si="20"/>
        <v>6.2093430467625215</v>
      </c>
      <c r="F114" s="80">
        <f t="shared" si="20"/>
        <v>6.2093430467625215</v>
      </c>
      <c r="G114" s="80">
        <f t="shared" si="20"/>
        <v>8.8029396100068968</v>
      </c>
      <c r="H114" s="80">
        <f t="shared" si="20"/>
        <v>9.0905155258149755</v>
      </c>
      <c r="I114" s="123" t="str">
        <f t="shared" si="20"/>
        <v/>
      </c>
      <c r="J114" s="90"/>
      <c r="M114" s="193"/>
      <c r="N114" s="199"/>
      <c r="O114" s="199"/>
      <c r="P114" s="200"/>
    </row>
    <row r="115" spans="2:16">
      <c r="B115" s="89" t="s">
        <v>114</v>
      </c>
      <c r="C115" s="126" t="str">
        <f>IF(NOT(ISNA(HLOOKUP(C117,$C$82:$I$89,5,FALSE))),HLOOKUP(C117,$C$82:$I$89,5,FALSE),IF(NOT(ISNA(HLOOKUP(C117,$C$91:$I$98,5,FALSE))),HLOOKUP(C117,$C$91:$I$98,5,FALSE),HLOOKUP(C117,$C$100:$I$107,5,FALSE)))</f>
        <v/>
      </c>
      <c r="D115" s="127">
        <f t="shared" ref="D115:I115" si="21">IF(NOT(ISNA(HLOOKUP(D117,$C$82:$I$89,5,FALSE))),HLOOKUP(D117,$C$82:$I$89,5,FALSE),IF(NOT(ISNA(HLOOKUP(D117,$C$91:$I$98,5,FALSE))),HLOOKUP(D117,$C$91:$I$98,5,FALSE),HLOOKUP(D117,$C$100:$I$107,5,FALSE)))</f>
        <v>584.89717697299659</v>
      </c>
      <c r="E115" s="127">
        <f t="shared" si="21"/>
        <v>141.41757198796336</v>
      </c>
      <c r="F115" s="127">
        <f t="shared" si="21"/>
        <v>146.1314910542288</v>
      </c>
      <c r="G115" s="127">
        <f t="shared" si="21"/>
        <v>211.98607377950228</v>
      </c>
      <c r="H115" s="127">
        <f t="shared" si="21"/>
        <v>214.58860554205913</v>
      </c>
      <c r="I115" s="129" t="str">
        <f t="shared" si="21"/>
        <v/>
      </c>
      <c r="J115" s="124">
        <f>SUM(C115:I115)</f>
        <v>1299.0209193367502</v>
      </c>
      <c r="M115" s="193"/>
      <c r="N115" s="199"/>
      <c r="O115" s="199"/>
      <c r="P115" s="200"/>
    </row>
    <row r="116" spans="2:16">
      <c r="B116" s="89" t="s">
        <v>113</v>
      </c>
      <c r="C116" s="126">
        <f t="shared" ref="C116:I116" si="22">IF(NOT(ISNA(HLOOKUP(C117,$C$82:$I$89,6,FALSE))),HLOOKUP(C117,$C$82:$I$89,6,FALSE),IF(NOT(ISNA(HLOOKUP(C117,$C$91:$I$98,6,FALSE))),HLOOKUP(C117,$C$91:$I$98,6,FALSE),HLOOKUP(C117,$C$100:$I$107,6,FALSE)))</f>
        <v>0</v>
      </c>
      <c r="D116" s="127">
        <f t="shared" si="22"/>
        <v>38.215742747023498</v>
      </c>
      <c r="E116" s="127">
        <f t="shared" si="22"/>
        <v>0</v>
      </c>
      <c r="F116" s="127">
        <f t="shared" si="22"/>
        <v>0</v>
      </c>
      <c r="G116" s="127">
        <f t="shared" si="22"/>
        <v>12.196652676004764</v>
      </c>
      <c r="H116" s="127">
        <f t="shared" si="22"/>
        <v>45.430578229480133</v>
      </c>
      <c r="I116" s="129">
        <f t="shared" si="22"/>
        <v>0</v>
      </c>
      <c r="J116" s="124"/>
      <c r="M116" s="193"/>
      <c r="N116" s="199"/>
      <c r="O116" s="199"/>
      <c r="P116" s="200"/>
    </row>
    <row r="117" spans="2:16">
      <c r="B117" s="89" t="s">
        <v>75</v>
      </c>
      <c r="C117" s="126" t="str">
        <f>IF(MIN(C82,C91,C100)=0,"",MIN(C82,C91,C100))</f>
        <v/>
      </c>
      <c r="D117" s="127">
        <f t="shared" ref="D117:I117" si="23">IF(MIN(D82,D91,D100)=0,"",MIN(D82,D91,D100))</f>
        <v>180.7027467188058</v>
      </c>
      <c r="E117" s="127">
        <f t="shared" si="23"/>
        <v>41.011095876509373</v>
      </c>
      <c r="F117" s="127">
        <f t="shared" si="23"/>
        <v>42.378132405726348</v>
      </c>
      <c r="G117" s="127">
        <f t="shared" si="23"/>
        <v>65.012990672097033</v>
      </c>
      <c r="H117" s="127">
        <f t="shared" si="23"/>
        <v>75.405563293746383</v>
      </c>
      <c r="I117" s="129" t="str">
        <f t="shared" si="23"/>
        <v/>
      </c>
      <c r="J117" s="125">
        <f>SUM(C117:I117)</f>
        <v>404.51052896688498</v>
      </c>
      <c r="M117" s="193"/>
      <c r="N117" s="199"/>
      <c r="O117" s="199"/>
      <c r="P117" s="200"/>
    </row>
    <row r="118" spans="2:16" ht="15.75" thickBot="1">
      <c r="B118" s="94"/>
      <c r="C118" s="91"/>
      <c r="D118" s="92"/>
      <c r="E118" s="92"/>
      <c r="F118" s="92"/>
      <c r="G118" s="92"/>
      <c r="H118" s="92"/>
      <c r="I118" s="149"/>
      <c r="J118" s="94"/>
      <c r="M118" s="201"/>
      <c r="N118" s="202"/>
      <c r="O118" s="202"/>
      <c r="P118" s="203"/>
    </row>
    <row r="119" spans="2:16">
      <c r="B119" s="100" t="s">
        <v>80</v>
      </c>
      <c r="C119" s="100" t="s">
        <v>112</v>
      </c>
    </row>
  </sheetData>
  <mergeCells count="6">
    <mergeCell ref="M111:P118"/>
    <mergeCell ref="B23:D25"/>
    <mergeCell ref="E23:H25"/>
    <mergeCell ref="I23:L25"/>
    <mergeCell ref="N2:O2"/>
    <mergeCell ref="M65:P72"/>
  </mergeCells>
  <conditionalFormatting sqref="C85:J85 C103:J103 C94:J94 C39:J39 C48:J48 C57:J57 C68:J68">
    <cfRule type="colorScale" priority="67">
      <colorScale>
        <cfvo type="num" val="5"/>
        <cfvo type="percentile" val="7"/>
        <cfvo type="num" val="8"/>
        <color rgb="FF00B050"/>
        <color rgb="FFFFEB84"/>
        <color rgb="FFFF0000"/>
      </colorScale>
    </cfRule>
  </conditionalFormatting>
  <conditionalFormatting sqref="C37:I43">
    <cfRule type="expression" dxfId="20" priority="50">
      <formula>C$43="Laufzeit!"</formula>
    </cfRule>
  </conditionalFormatting>
  <conditionalFormatting sqref="C46:I52">
    <cfRule type="expression" dxfId="19" priority="47">
      <formula>C$52="Laufzeit!"</formula>
    </cfRule>
  </conditionalFormatting>
  <conditionalFormatting sqref="C55:I61">
    <cfRule type="expression" dxfId="18" priority="46">
      <formula>C$61="Laufzeit!"</formula>
    </cfRule>
  </conditionalFormatting>
  <conditionalFormatting sqref="C114:J114">
    <cfRule type="colorScale" priority="45">
      <colorScale>
        <cfvo type="num" val="5"/>
        <cfvo type="percentile" val="7"/>
        <cfvo type="num" val="8"/>
        <color rgb="FF00B050"/>
        <color rgb="FFFFEB84"/>
        <color rgb="FFFF0000"/>
      </colorScale>
    </cfRule>
  </conditionalFormatting>
  <conditionalFormatting sqref="C52:I52">
    <cfRule type="expression" dxfId="17" priority="44">
      <formula>C$43="Laufzeit!"</formula>
    </cfRule>
  </conditionalFormatting>
  <conditionalFormatting sqref="C61:I61">
    <cfRule type="expression" dxfId="16" priority="43">
      <formula>C$52="Laufzeit!"</formula>
    </cfRule>
  </conditionalFormatting>
  <conditionalFormatting sqref="C61:I61">
    <cfRule type="expression" dxfId="15" priority="42">
      <formula>C$43="Laufzeit!"</formula>
    </cfRule>
  </conditionalFormatting>
  <conditionalFormatting sqref="C83:I89">
    <cfRule type="expression" dxfId="14" priority="35">
      <formula>C$89="Laufzeit!"</formula>
    </cfRule>
  </conditionalFormatting>
  <conditionalFormatting sqref="C101:I107">
    <cfRule type="expression" dxfId="13" priority="34">
      <formula>C$107="Laufzeit!"</formula>
    </cfRule>
  </conditionalFormatting>
  <conditionalFormatting sqref="C92:I98">
    <cfRule type="expression" dxfId="12" priority="33">
      <formula>C$98="Laufzeit!"</formula>
    </cfRule>
  </conditionalFormatting>
  <conditionalFormatting sqref="C50:I50">
    <cfRule type="expression" dxfId="11" priority="7">
      <formula>C50&lt;1</formula>
    </cfRule>
    <cfRule type="expression" dxfId="10" priority="32">
      <formula>C$43="Laufzeit!"</formula>
    </cfRule>
  </conditionalFormatting>
  <conditionalFormatting sqref="C50:I50">
    <cfRule type="expression" dxfId="9" priority="31">
      <formula>C$43="Laufzeit!"</formula>
    </cfRule>
  </conditionalFormatting>
  <conditionalFormatting sqref="C59:I59">
    <cfRule type="expression" dxfId="8" priority="6">
      <formula>C59=0</formula>
    </cfRule>
    <cfRule type="expression" dxfId="7" priority="30">
      <formula>C$52="Laufzeit!"</formula>
    </cfRule>
  </conditionalFormatting>
  <conditionalFormatting sqref="C59:I59">
    <cfRule type="expression" dxfId="6" priority="29">
      <formula>C$43="Laufzeit!"</formula>
    </cfRule>
  </conditionalFormatting>
  <conditionalFormatting sqref="C59:I59">
    <cfRule type="expression" dxfId="5" priority="28">
      <formula>C$43="Laufzeit!"</formula>
    </cfRule>
  </conditionalFormatting>
  <conditionalFormatting sqref="C41:I41 C70:I70">
    <cfRule type="expression" dxfId="4" priority="8">
      <formula>C41&lt;1</formula>
    </cfRule>
  </conditionalFormatting>
  <conditionalFormatting sqref="C87:I87">
    <cfRule type="expression" dxfId="3" priority="4">
      <formula>C87&lt;1</formula>
    </cfRule>
  </conditionalFormatting>
  <conditionalFormatting sqref="C96:I96">
    <cfRule type="expression" dxfId="2" priority="3">
      <formula>C96&lt;1</formula>
    </cfRule>
  </conditionalFormatting>
  <conditionalFormatting sqref="C105:I105">
    <cfRule type="expression" dxfId="1" priority="2">
      <formula>C105&lt;1</formula>
    </cfRule>
  </conditionalFormatting>
  <conditionalFormatting sqref="C116:I116">
    <cfRule type="expression" dxfId="0" priority="1">
      <formula>C116=0</formula>
    </cfRule>
  </conditionalFormatting>
  <hyperlinks>
    <hyperlink ref="N2" location="Start!A1" display="&lt;- Zurück"/>
  </hyperlinks>
  <pageMargins left="0.70866141732283472" right="0.70866141732283472" top="0.78740157480314965" bottom="0.78740157480314965" header="0.31496062992125984" footer="0.31496062992125984"/>
  <pageSetup paperSize="9" scale="85" fitToHeight="10000" orientation="landscape" r:id="rId1"/>
  <headerFooter>
    <oddFooter>&amp;C&amp;1#&amp;"Arial"&amp;10&amp;K000000Internal</oddFooter>
  </headerFooter>
  <rowBreaks count="4" manualBreakCount="4">
    <brk id="27" max="16383" man="1"/>
    <brk id="63" max="16383" man="1"/>
    <brk id="73" max="16383" man="1"/>
    <brk id="109" max="16383" man="1"/>
  </rowBreaks>
  <ignoredErrors>
    <ignoredError sqref="D86:H86" formula="1"/>
  </ignoredErrors>
  <drawing r:id="rId2"/>
</worksheet>
</file>

<file path=xl/worksheets/sheet4.xml><?xml version="1.0" encoding="utf-8"?>
<worksheet xmlns="http://schemas.openxmlformats.org/spreadsheetml/2006/main" xmlns:r="http://schemas.openxmlformats.org/officeDocument/2006/relationships">
  <sheetPr codeName="Tabelle4"/>
  <dimension ref="A1:O2"/>
  <sheetViews>
    <sheetView workbookViewId="0">
      <selection activeCell="N2" sqref="N2:O2"/>
    </sheetView>
  </sheetViews>
  <sheetFormatPr baseColWidth="10" defaultRowHeight="15"/>
  <sheetData>
    <row r="1" spans="1:15" ht="15.75" thickBot="1"/>
    <row r="2" spans="1:15" ht="16.5" thickBot="1">
      <c r="A2" t="s">
        <v>105</v>
      </c>
      <c r="N2" s="170" t="s">
        <v>51</v>
      </c>
      <c r="O2" s="171"/>
    </row>
  </sheetData>
  <mergeCells count="1">
    <mergeCell ref="N2:O2"/>
  </mergeCells>
  <hyperlinks>
    <hyperlink ref="N2" location="Start!A1" display="&lt;- Zurück"/>
  </hyperlinks>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sheetPr codeName="Tabelle5"/>
  <dimension ref="A1:K25"/>
  <sheetViews>
    <sheetView workbookViewId="0">
      <selection activeCell="B1" sqref="B1"/>
    </sheetView>
  </sheetViews>
  <sheetFormatPr baseColWidth="10" defaultRowHeight="15"/>
  <cols>
    <col min="1" max="1" width="16.7109375" style="1" customWidth="1"/>
    <col min="2" max="3" width="12" style="1" bestFit="1" customWidth="1"/>
    <col min="4" max="10" width="13.28515625" style="1" customWidth="1"/>
    <col min="11" max="11" width="11.42578125" style="1"/>
  </cols>
  <sheetData>
    <row r="1" spans="1:10">
      <c r="A1" s="6" t="s">
        <v>15</v>
      </c>
      <c r="B1" s="1">
        <f>IF(Dateneingabe!C8=A2,1,IF(Dateneingabe!C8=A3,7,IF(Dateneingabe!C8=A4,13,19)))</f>
        <v>7</v>
      </c>
      <c r="D1" s="175"/>
      <c r="E1" s="175"/>
      <c r="F1" s="175"/>
      <c r="G1" s="175"/>
      <c r="H1" s="175"/>
      <c r="I1" s="175"/>
      <c r="J1" s="175"/>
    </row>
    <row r="2" spans="1:10">
      <c r="A2" s="1" t="s">
        <v>21</v>
      </c>
      <c r="D2" s="175"/>
      <c r="E2" s="175"/>
      <c r="F2" s="175"/>
      <c r="G2" s="175"/>
      <c r="H2" s="175"/>
      <c r="I2" s="175"/>
      <c r="J2" s="175"/>
    </row>
    <row r="3" spans="1:10">
      <c r="A3" s="1" t="s">
        <v>19</v>
      </c>
      <c r="D3" s="175"/>
      <c r="E3" s="175"/>
      <c r="F3" s="175"/>
      <c r="G3" s="175"/>
      <c r="H3" s="175"/>
      <c r="I3" s="175"/>
      <c r="J3" s="175"/>
    </row>
    <row r="4" spans="1:10">
      <c r="A4" s="1" t="s">
        <v>20</v>
      </c>
      <c r="D4" s="175"/>
      <c r="E4" s="175"/>
      <c r="F4" s="175"/>
      <c r="G4" s="175"/>
      <c r="H4" s="175"/>
      <c r="I4" s="175"/>
      <c r="J4" s="175"/>
    </row>
    <row r="5" spans="1:10">
      <c r="D5" s="175"/>
      <c r="E5" s="175"/>
      <c r="F5" s="175"/>
      <c r="G5" s="175"/>
      <c r="H5" s="175"/>
      <c r="I5" s="175"/>
      <c r="J5" s="175"/>
    </row>
    <row r="6" spans="1:10">
      <c r="D6" s="175"/>
      <c r="E6" s="175"/>
      <c r="F6" s="175"/>
      <c r="G6" s="175"/>
      <c r="H6" s="175"/>
      <c r="I6" s="175"/>
      <c r="J6" s="175"/>
    </row>
    <row r="7" spans="1:10">
      <c r="D7" s="175"/>
      <c r="E7" s="175"/>
      <c r="F7" s="175"/>
      <c r="G7" s="175"/>
      <c r="H7" s="175"/>
      <c r="I7" s="175"/>
      <c r="J7" s="175"/>
    </row>
    <row r="8" spans="1:10">
      <c r="D8" s="175"/>
      <c r="E8" s="175"/>
      <c r="F8" s="175"/>
      <c r="G8" s="175"/>
      <c r="H8" s="175"/>
      <c r="I8" s="175"/>
      <c r="J8" s="175"/>
    </row>
    <row r="9" spans="1:10">
      <c r="D9" s="175"/>
      <c r="E9" s="175"/>
      <c r="F9" s="175"/>
      <c r="G9" s="175"/>
      <c r="H9" s="175"/>
      <c r="I9" s="175"/>
      <c r="J9" s="175"/>
    </row>
    <row r="10" spans="1:10">
      <c r="D10" s="175"/>
      <c r="E10" s="175"/>
      <c r="F10" s="175"/>
      <c r="G10" s="175"/>
      <c r="H10" s="175"/>
      <c r="I10" s="175"/>
      <c r="J10" s="175"/>
    </row>
    <row r="11" spans="1:10">
      <c r="B11" s="2"/>
      <c r="D11" s="175"/>
      <c r="E11" s="175"/>
      <c r="F11" s="175"/>
      <c r="G11" s="175"/>
      <c r="H11" s="175"/>
      <c r="I11" s="175"/>
      <c r="J11" s="175"/>
    </row>
    <row r="12" spans="1:10">
      <c r="B12" s="17"/>
      <c r="D12" s="175"/>
      <c r="E12" s="175"/>
      <c r="F12" s="175"/>
      <c r="G12" s="175"/>
      <c r="H12" s="175"/>
      <c r="I12" s="175"/>
      <c r="J12" s="175"/>
    </row>
    <row r="13" spans="1:10">
      <c r="B13" s="17"/>
      <c r="D13" s="175"/>
      <c r="E13" s="175"/>
      <c r="F13" s="175"/>
      <c r="G13" s="175"/>
      <c r="H13" s="175"/>
      <c r="I13" s="175"/>
      <c r="J13" s="175"/>
    </row>
    <row r="14" spans="1:10">
      <c r="B14" s="17"/>
      <c r="D14" s="175"/>
      <c r="E14" s="175"/>
      <c r="F14" s="175"/>
      <c r="G14" s="175"/>
      <c r="H14" s="175"/>
      <c r="I14" s="175"/>
      <c r="J14" s="175"/>
    </row>
    <row r="15" spans="1:10">
      <c r="B15" s="17"/>
      <c r="D15" s="175"/>
      <c r="E15" s="175"/>
      <c r="F15" s="175"/>
      <c r="G15" s="175"/>
      <c r="H15" s="175"/>
      <c r="I15" s="175"/>
      <c r="J15" s="175"/>
    </row>
    <row r="16" spans="1:10">
      <c r="A16" s="2"/>
      <c r="B16" s="2"/>
      <c r="D16" s="175"/>
      <c r="E16" s="175"/>
      <c r="F16" s="175"/>
      <c r="G16" s="175"/>
      <c r="H16" s="175"/>
      <c r="I16" s="175"/>
      <c r="J16" s="175"/>
    </row>
    <row r="17" spans="1:11">
      <c r="A17" s="2"/>
      <c r="D17" s="175"/>
      <c r="E17" s="175"/>
      <c r="F17" s="175"/>
      <c r="G17" s="175"/>
      <c r="H17" s="175"/>
      <c r="I17" s="175"/>
      <c r="J17" s="175"/>
    </row>
    <row r="18" spans="1:11">
      <c r="A18" s="2"/>
      <c r="D18" s="175"/>
      <c r="E18" s="175"/>
      <c r="F18" s="175"/>
      <c r="G18" s="175"/>
      <c r="H18" s="175"/>
      <c r="I18" s="175"/>
      <c r="J18" s="175"/>
    </row>
    <row r="19" spans="1:11">
      <c r="A19" s="2"/>
    </row>
    <row r="21" spans="1:11">
      <c r="B21" s="13" t="s">
        <v>61</v>
      </c>
      <c r="C21" s="13" t="s">
        <v>61</v>
      </c>
      <c r="D21" s="13" t="s">
        <v>70</v>
      </c>
      <c r="E21" s="13" t="s">
        <v>71</v>
      </c>
      <c r="F21" s="13" t="s">
        <v>72</v>
      </c>
      <c r="G21" s="13" t="s">
        <v>72</v>
      </c>
      <c r="H21" s="13" t="s">
        <v>70</v>
      </c>
      <c r="I21" s="13" t="s">
        <v>71</v>
      </c>
      <c r="J21" s="1" t="s">
        <v>76</v>
      </c>
      <c r="K21" s="1" t="s">
        <v>77</v>
      </c>
    </row>
    <row r="22" spans="1:11">
      <c r="B22" s="13"/>
      <c r="C22" s="13"/>
      <c r="D22" s="13"/>
      <c r="E22" s="13"/>
      <c r="F22" s="13"/>
      <c r="G22" s="13"/>
      <c r="H22" s="13"/>
      <c r="I22" s="13"/>
    </row>
    <row r="23" spans="1:11">
      <c r="A23" s="1" t="s">
        <v>67</v>
      </c>
      <c r="B23" s="72">
        <f>IF(Wärmepumpe!C9&lt;&gt;"",Wärmepumpe!C9,IF(Wärmepumpe!C8&lt;&gt;"",Wärmepumpe!C7/Wärmepumpe!C8,0))</f>
        <v>4.5851528384279474</v>
      </c>
      <c r="C23" s="72">
        <f>IF(Wärmepumpe!C14&lt;&gt;"",Wärmepumpe!C14,IF(Wärmepumpe!C13&lt;&gt;"",Wärmepumpe!C12/Wärmepumpe!C13,0))</f>
        <v>5.9670781893004108</v>
      </c>
      <c r="D23" s="13">
        <f>SLOPE(B23:C23,J23:K23)</f>
        <v>0.12562957735204211</v>
      </c>
      <c r="E23" s="13">
        <f>INTERCEPT(B23:C23,J23:K23)</f>
        <v>2.7007091781473154</v>
      </c>
      <c r="F23" s="74">
        <f>Wärmepumpe!C7</f>
        <v>10.5</v>
      </c>
      <c r="G23" s="74">
        <f>Wärmepumpe!C12</f>
        <v>14.5</v>
      </c>
      <c r="H23" s="13">
        <f>SLOPE(F23:G23,J23:K23)</f>
        <v>0.36363636363636365</v>
      </c>
      <c r="I23" s="13">
        <f>INTERCEPT(F23:G23,J23:K23)</f>
        <v>5.045454545454545</v>
      </c>
      <c r="J23" s="75">
        <f>Wärmepumpe!C6</f>
        <v>15</v>
      </c>
      <c r="K23" s="75">
        <f>Wärmepumpe!C11</f>
        <v>26</v>
      </c>
    </row>
    <row r="24" spans="1:11">
      <c r="A24" s="1" t="s">
        <v>68</v>
      </c>
      <c r="B24" s="72">
        <f>IF(Wärmepumpe!G9&lt;&gt;"",Wärmepumpe!G9,IF(Wärmepumpe!G8&lt;&gt;"",Wärmepumpe!G7/Wärmepumpe!G8,0))</f>
        <v>6.5185185185185182</v>
      </c>
      <c r="C24" s="72">
        <f>IF(Wärmepumpe!G14&lt;&gt;"",Wärmepumpe!G14,IF(Wärmepumpe!G13&lt;&gt;"",Wärmepumpe!G12/Wärmepumpe!G13,0))</f>
        <v>10.152777777777777</v>
      </c>
      <c r="D24" s="13">
        <f>SLOPE(B24:C24,J24:K24)</f>
        <v>0.33038720538720534</v>
      </c>
      <c r="E24" s="13">
        <f>INTERCEPT(B24:C24,J24:K24)</f>
        <v>1.5627104377104377</v>
      </c>
      <c r="F24" s="74">
        <f>Wärmepumpe!G7</f>
        <v>5.28</v>
      </c>
      <c r="G24" s="74">
        <f>Wärmepumpe!G12</f>
        <v>7.31</v>
      </c>
      <c r="H24" s="13">
        <f>SLOPE(F24:G24,J24:K24)</f>
        <v>0.18454545454545448</v>
      </c>
      <c r="I24" s="13">
        <f>INTERCEPT(F24:G24,J24:K24)</f>
        <v>2.5118181818181831</v>
      </c>
      <c r="J24" s="75">
        <f>Wärmepumpe!G6</f>
        <v>15</v>
      </c>
      <c r="K24" s="75">
        <f>Wärmepumpe!G11</f>
        <v>26</v>
      </c>
    </row>
    <row r="25" spans="1:11">
      <c r="A25" s="1" t="s">
        <v>69</v>
      </c>
      <c r="B25" s="72">
        <f>IF(Wärmepumpe!K9&lt;&gt;"",Wärmepumpe!K9,IF(Wärmepumpe!K8&lt;&gt;"",Wärmepumpe!K7/Wärmepumpe!K8,0))</f>
        <v>8</v>
      </c>
      <c r="C25" s="72">
        <f>IF(Wärmepumpe!K14&lt;&gt;"",Wärmepumpe!K14,IF(Wärmepumpe!K13&lt;&gt;"",Wärmepumpe!K12/Wärmepumpe!K13,0))</f>
        <v>16.071428571428569</v>
      </c>
      <c r="D25" s="13">
        <f>SLOPE(B25:C25,J25:K25)</f>
        <v>0.73376623376623362</v>
      </c>
      <c r="E25" s="13">
        <f>INTERCEPT(B25:C25,J25:K25)</f>
        <v>-3.0064935064935039</v>
      </c>
      <c r="F25" s="74">
        <f>Wärmepumpe!K7</f>
        <v>2.08</v>
      </c>
      <c r="G25" s="74">
        <f>Wärmepumpe!K12</f>
        <v>2.25</v>
      </c>
      <c r="H25" s="13">
        <f>SLOPE(F25:G25,J25:K25)</f>
        <v>1.5454545454545448E-2</v>
      </c>
      <c r="I25" s="13">
        <f>INTERCEPT(F25:G25,J25:K25)</f>
        <v>1.8481818181818184</v>
      </c>
      <c r="J25" s="75">
        <f>Wärmepumpe!K6</f>
        <v>15</v>
      </c>
      <c r="K25" s="75">
        <f>Wärmepumpe!K11</f>
        <v>26</v>
      </c>
    </row>
  </sheetData>
  <mergeCells count="3">
    <mergeCell ref="D1:J6"/>
    <mergeCell ref="D7:J12"/>
    <mergeCell ref="D13:J18"/>
  </mergeCells>
  <pageMargins left="0.7" right="0.7" top="0.78740157499999996" bottom="0.78740157499999996" header="0.3" footer="0.3"/>
  <pageSetup paperSize="9" orientation="portrait" r:id="rId1"/>
  <headerFooter>
    <oddFooter>&amp;C&amp;1#&amp;"Arial"&amp;10&amp;K000000Internal</oddFooter>
  </headerFooter>
  <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5</vt:i4>
      </vt:variant>
      <vt:variant>
        <vt:lpstr>Benannte Bereiche</vt:lpstr>
      </vt:variant>
      <vt:variant>
        <vt:i4>2</vt:i4>
      </vt:variant>
    </vt:vector>
  </HeadingPairs>
  <TitlesOfParts>
    <vt:vector size="7" baseType="lpstr">
      <vt:lpstr>Start</vt:lpstr>
      <vt:lpstr>Dateneingabe</vt:lpstr>
      <vt:lpstr>Wärmepumpe</vt:lpstr>
      <vt:lpstr>Solarabsorber</vt:lpstr>
      <vt:lpstr>Hilfsdaten</vt:lpstr>
      <vt:lpstr>Dateneingabe!Druckbereich</vt:lpstr>
      <vt:lpstr>Wärmepumpe!Druckbereich</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dc:creator>
  <cp:lastModifiedBy>michael</cp:lastModifiedBy>
  <cp:lastPrinted>2021-09-20T03:26:42Z</cp:lastPrinted>
  <dcterms:created xsi:type="dcterms:W3CDTF">2021-07-08T19:26:26Z</dcterms:created>
  <dcterms:modified xsi:type="dcterms:W3CDTF">2021-09-20T03:29:08Z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c8c00982-80e1-41e6-a03a-12f4ca954faf_Enabled">
    <vt:lpwstr>True</vt:lpwstr>
  </property>
  <property fmtid="{D5CDD505-2E9C-101B-9397-08002B2CF9AE}" pid="3" name="MSIP_Label_c8c00982-80e1-41e6-a03a-12f4ca954faf_SiteId">
    <vt:lpwstr>ecaa386b-c8df-4ce0-ad01-740cbdb5ba55</vt:lpwstr>
  </property>
  <property fmtid="{D5CDD505-2E9C-101B-9397-08002B2CF9AE}" pid="4" name="MSIP_Label_c8c00982-80e1-41e6-a03a-12f4ca954faf_Owner">
    <vt:lpwstr>SchlenM7@basfad.basf.net</vt:lpwstr>
  </property>
  <property fmtid="{D5CDD505-2E9C-101B-9397-08002B2CF9AE}" pid="5" name="MSIP_Label_c8c00982-80e1-41e6-a03a-12f4ca954faf_SetDate">
    <vt:lpwstr>2021-09-14T06:10:15.9851856Z</vt:lpwstr>
  </property>
  <property fmtid="{D5CDD505-2E9C-101B-9397-08002B2CF9AE}" pid="6" name="MSIP_Label_c8c00982-80e1-41e6-a03a-12f4ca954faf_Name">
    <vt:lpwstr>Internal</vt:lpwstr>
  </property>
  <property fmtid="{D5CDD505-2E9C-101B-9397-08002B2CF9AE}" pid="7" name="MSIP_Label_c8c00982-80e1-41e6-a03a-12f4ca954faf_Application">
    <vt:lpwstr>Microsoft Azure Information Protection</vt:lpwstr>
  </property>
  <property fmtid="{D5CDD505-2E9C-101B-9397-08002B2CF9AE}" pid="8" name="MSIP_Label_c8c00982-80e1-41e6-a03a-12f4ca954faf_ActionId">
    <vt:lpwstr>c0bd587c-b60f-4a7f-941b-db2bfdbd070e</vt:lpwstr>
  </property>
  <property fmtid="{D5CDD505-2E9C-101B-9397-08002B2CF9AE}" pid="9" name="MSIP_Label_c8c00982-80e1-41e6-a03a-12f4ca954faf_Extended_MSFT_Method">
    <vt:lpwstr>Automatic</vt:lpwstr>
  </property>
  <property fmtid="{D5CDD505-2E9C-101B-9397-08002B2CF9AE}" pid="10" name="MSIP_Label_06530cf4-8573-4c29-a912-bbcdac835909_Enabled">
    <vt:lpwstr>True</vt:lpwstr>
  </property>
  <property fmtid="{D5CDD505-2E9C-101B-9397-08002B2CF9AE}" pid="11" name="MSIP_Label_06530cf4-8573-4c29-a912-bbcdac835909_SiteId">
    <vt:lpwstr>ecaa386b-c8df-4ce0-ad01-740cbdb5ba55</vt:lpwstr>
  </property>
  <property fmtid="{D5CDD505-2E9C-101B-9397-08002B2CF9AE}" pid="12" name="MSIP_Label_06530cf4-8573-4c29-a912-bbcdac835909_Owner">
    <vt:lpwstr>SchlenM7@basfad.basf.net</vt:lpwstr>
  </property>
  <property fmtid="{D5CDD505-2E9C-101B-9397-08002B2CF9AE}" pid="13" name="MSIP_Label_06530cf4-8573-4c29-a912-bbcdac835909_SetDate">
    <vt:lpwstr>2021-09-14T06:10:15.9851856Z</vt:lpwstr>
  </property>
  <property fmtid="{D5CDD505-2E9C-101B-9397-08002B2CF9AE}" pid="14" name="MSIP_Label_06530cf4-8573-4c29-a912-bbcdac835909_Name">
    <vt:lpwstr>Unprotected</vt:lpwstr>
  </property>
  <property fmtid="{D5CDD505-2E9C-101B-9397-08002B2CF9AE}" pid="15" name="MSIP_Label_06530cf4-8573-4c29-a912-bbcdac835909_Application">
    <vt:lpwstr>Microsoft Azure Information Protection</vt:lpwstr>
  </property>
  <property fmtid="{D5CDD505-2E9C-101B-9397-08002B2CF9AE}" pid="16" name="MSIP_Label_06530cf4-8573-4c29-a912-bbcdac835909_ActionId">
    <vt:lpwstr>c0bd587c-b60f-4a7f-941b-db2bfdbd070e</vt:lpwstr>
  </property>
  <property fmtid="{D5CDD505-2E9C-101B-9397-08002B2CF9AE}" pid="17" name="MSIP_Label_06530cf4-8573-4c29-a912-bbcdac835909_Parent">
    <vt:lpwstr>c8c00982-80e1-41e6-a03a-12f4ca954faf</vt:lpwstr>
  </property>
  <property fmtid="{D5CDD505-2E9C-101B-9397-08002B2CF9AE}" pid="18" name="MSIP_Label_06530cf4-8573-4c29-a912-bbcdac835909_Extended_MSFT_Method">
    <vt:lpwstr>Automatic</vt:lpwstr>
  </property>
  <property fmtid="{D5CDD505-2E9C-101B-9397-08002B2CF9AE}" pid="19" name="Sensitivity">
    <vt:lpwstr>Internal Unprotected</vt:lpwstr>
  </property>
</Properties>
</file>